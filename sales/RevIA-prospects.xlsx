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Prospects" sheetId="3" state="visible" r:id="rId5"/>
    <sheet name="Outreach templates" sheetId="4" state="visible" r:id="rId6"/>
  </sheets>
  <definedNames>
    <definedName function="false" hidden="true" localSheetId="2" name="_xlnm._FilterDatabase" vbProcedure="false">Prospects!$A$1:$O$109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<sst xmlns="http://schemas.openxmlformats.org/spreadsheetml/2006/main" count="876" uniqueCount="341">
  <si>
    <t xml:space="preserve">RevIA – prospect list</t>
  </si>
  <si>
    <t xml:space="preserve">What this is: 108 organisations that match RevIA's profile (secure code review, French/English, cheap, self-hostable, CI gate), grouped by segment.</t>
  </si>
  <si>
    <t xml:space="preserve">What it is NOT: a list of guaranteed buyers. Nobody can honestly promise that any organisation will buy. Cold B2B outreach typically converts at a few percent;</t>
  </si>
  <si>
    <t xml:space="preserve">a well-targeted pilot offer to warm contacts (your school, alumni, ex-colleagues) converts much better. Start with Tier A.</t>
  </si>
  <si>
    <t xml:space="preserve">Fit score (0–100) = our estimate of how well RevIA matches the organisation's needs, budget and buying process today. It is not a purchase probability.</t>
  </si>
  <si>
    <t xml:space="preserve">Tier is computed from the score: A ≥ 75, B 60–74, C &lt; 60 (formula, change thresholds in cells B12:B13).</t>
  </si>
  <si>
    <t xml:space="preserve">No personal contact details are included: find the named role on the organisation's website or LinkedIn page and reach out professionally.</t>
  </si>
  <si>
    <t xml:space="preserve">Yellow columns (Status, Next step, Contacted on, Notes) are for you to fill in. Example: Status = 'Contacted', Next step = 'Demo call'.</t>
  </si>
  <si>
    <t xml:space="preserve">Tier A threshold</t>
  </si>
  <si>
    <t xml:space="preserve">Tier B threshold</t>
  </si>
  <si>
    <t xml:space="preserve">Sources used for verification: clutch.co/tn/developers, themanifest.com/tn (Java), goodfirms.co (Morocco), blog.holbertonschool.com, infomediaire.net (GOMYCODE), dealroom (Simplon/Wild Code School), talan.com (Shore), Wikipedia (42 school), composio.dev (competitor pricing 2026).</t>
  </si>
  <si>
    <t xml:space="preserve">Competitor price context (2026, per dev/month): CodeRabbit $24–30+, Greptile $30, Graphite $20–40, GitHub Copilot Business $19. RevIA Pro at €9 is the low-cost, self-hostable option.</t>
  </si>
  <si>
    <t xml:space="preserve">Prospects by segment and tier</t>
  </si>
  <si>
    <t xml:space="preserve">Segment</t>
  </si>
  <si>
    <t xml:space="preserve">Total</t>
  </si>
  <si>
    <t xml:space="preserve">Tier A</t>
  </si>
  <si>
    <t xml:space="preserve">Tier B</t>
  </si>
  <si>
    <t xml:space="preserve">Tier C</t>
  </si>
  <si>
    <t xml:space="preserve">Avg fit</t>
  </si>
  <si>
    <t xml:space="preserve">Education (schools &amp; bootcamps)</t>
  </si>
  <si>
    <t xml:space="preserve">Software firms – Tunisia</t>
  </si>
  <si>
    <t xml:space="preserve">Software firms – Morocco</t>
  </si>
  <si>
    <t xml:space="preserve">Java/Spring consultancies – France</t>
  </si>
  <si>
    <t xml:space="preserve">Software firms – West/Sub-Saharan Africa</t>
  </si>
  <si>
    <t xml:space="preserve">Public sector &amp; regulated</t>
  </si>
  <si>
    <t xml:space="preserve">Channel partners</t>
  </si>
  <si>
    <t xml:space="preserve">Pipeline (from Status column)</t>
  </si>
  <si>
    <t xml:space="preserve">To contact</t>
  </si>
  <si>
    <t xml:space="preserve">Contacted</t>
  </si>
  <si>
    <t xml:space="preserve">Replied</t>
  </si>
  <si>
    <t xml:space="preserve">Demo booked</t>
  </si>
  <si>
    <t xml:space="preserve">Pilot</t>
  </si>
  <si>
    <t xml:space="preserve">Customer</t>
  </si>
  <si>
    <t xml:space="preserve">Lost</t>
  </si>
  <si>
    <t xml:space="preserve">#</t>
  </si>
  <si>
    <t xml:space="preserve">Organisation</t>
  </si>
  <si>
    <t xml:space="preserve">Location</t>
  </si>
  <si>
    <t xml:space="preserve">Size (approx.)</t>
  </si>
  <si>
    <t xml:space="preserve">Fit score (0–100)</t>
  </si>
  <si>
    <t xml:space="preserve">Tier</t>
  </si>
  <si>
    <t xml:space="preserve">Why RevIA fits</t>
  </si>
  <si>
    <t xml:space="preserve">Who to contact (role)</t>
  </si>
  <si>
    <t xml:space="preserve">Suggested offer</t>
  </si>
  <si>
    <t xml:space="preserve">Notes / source</t>
  </si>
  <si>
    <t xml:space="preserve">Status</t>
  </si>
  <si>
    <t xml:space="preserve">Next step</t>
  </si>
  <si>
    <t xml:space="preserve">Contacted on</t>
  </si>
  <si>
    <t xml:space="preserve">Your notes</t>
  </si>
  <si>
    <t xml:space="preserve">ESPRIT (École Supérieure Privée d'Ingénierie et de Technologies)</t>
  </si>
  <si>
    <t xml:space="preserve">Tunis, Tunisia</t>
  </si>
  <si>
    <t xml:space="preserve">Large private engineering school</t>
  </si>
  <si>
    <t xml:space="preserve">Teaches secure coding &amp; code review: RevIA gives every student an instant senior-style review (OWASP, fixes explained) at a per-seat price far below US tools; French + English; can self-host on campus.</t>
  </si>
  <si>
    <t xml:space="preserve">Head of studies / pedagogy lead, IT dept head</t>
  </si>
  <si>
    <t xml:space="preserve">Campus licence (self-hosted, unlimited students) or €2–3/student/semester</t>
  </si>
  <si>
    <t xml:space="preserve">Your own school: easiest first pilot and reference customer (course 'IA for Software Engineering').</t>
  </si>
  <si>
    <t xml:space="preserve">Pilot offer email</t>
  </si>
  <si>
    <t xml:space="preserve">GOMYCODE</t>
  </si>
  <si>
    <t xml:space="preserve">Tunis + Morocco, Senegal, others</t>
  </si>
  <si>
    <t xml:space="preserve">Large bootcamp network</t>
  </si>
  <si>
    <t xml:space="preserve">Expanding with AI in curricula (infomediaire.net 2025).</t>
  </si>
  <si>
    <t xml:space="preserve">Holberton School Tunis</t>
  </si>
  <si>
    <t xml:space="preserve">Bootcamp campus</t>
  </si>
  <si>
    <t xml:space="preserve">Peer-review based pedagogy; source: blog.holbertonschool.com</t>
  </si>
  <si>
    <t xml:space="preserve">1337 (42 Network)</t>
  </si>
  <si>
    <t xml:space="preserve">Khouribga / Benguerir / Tétouan, Morocco</t>
  </si>
  <si>
    <t xml:space="preserve">42 Network campuses</t>
  </si>
  <si>
    <t xml:space="preserve">Peer-to-peer code evaluation model; source: Wikipedia 42 (school).</t>
  </si>
  <si>
    <t xml:space="preserve">Simplon (incl. Wild Code School)</t>
  </si>
  <si>
    <t xml:space="preserve">Montreuil, France + Africa</t>
  </si>
  <si>
    <t xml:space="preserve">Social-impact school network</t>
  </si>
  <si>
    <t xml:space="preserve">Simplon acquired Wild Code School (dealroom).</t>
  </si>
  <si>
    <t xml:space="preserve">Hydatis</t>
  </si>
  <si>
    <t xml:space="preserve">10–49 (Clutch)</t>
  </si>
  <si>
    <t xml:space="preserve">Nearshore teams delivering Java/JS for EU clients need proof of code quality and security; RevIA adds a CI quality gate + SARIF reports, in French, cheaper than CodeRabbit/Copilot seats, self-hostable for client NDAs.</t>
  </si>
  <si>
    <t xml:space="preserve">CTO / Delivery or Quality manager</t>
  </si>
  <si>
    <t xml:space="preserve">Team plan + CI, 30-day pilot on one project</t>
  </si>
  <si>
    <t xml:space="preserve">Staff augmentation: code quality proof for clients.</t>
  </si>
  <si>
    <t xml:space="preserve">ZETA-BOX</t>
  </si>
  <si>
    <t xml:space="preserve">Sfax, Tunisia</t>
  </si>
  <si>
    <t xml:space="preserve">OpenClassrooms</t>
  </si>
  <si>
    <t xml:space="preserve">Paris, France (online)</t>
  </si>
  <si>
    <t xml:space="preserve">Online school, large</t>
  </si>
  <si>
    <t xml:space="preserve">Mentor-reviewed projects at scale: AI pre-review saves mentor time.</t>
  </si>
  <si>
    <t xml:space="preserve">YouCode</t>
  </si>
  <si>
    <t xml:space="preserve">Youssoufia / Safi, Morocco</t>
  </si>
  <si>
    <t xml:space="preserve">Free coding school</t>
  </si>
  <si>
    <t xml:space="preserve">Simplon/UM6P-backed coding school.</t>
  </si>
  <si>
    <t xml:space="preserve">Satoripop</t>
  </si>
  <si>
    <t xml:space="preserve">Sousse, Tunisia</t>
  </si>
  <si>
    <t xml:space="preserve">50–249 (Clutch)</t>
  </si>
  <si>
    <t xml:space="preserve">Source: clutch.co/tn, themanifest.com</t>
  </si>
  <si>
    <t xml:space="preserve">Softylines</t>
  </si>
  <si>
    <t xml:space="preserve">Microservices + web/mobile delivery.</t>
  </si>
  <si>
    <t xml:space="preserve">STEPS</t>
  </si>
  <si>
    <t xml:space="preserve">La Goulette, Tunisia</t>
  </si>
  <si>
    <t xml:space="preserve">Also offers application testing.</t>
  </si>
  <si>
    <t xml:space="preserve">Mss Group</t>
  </si>
  <si>
    <t xml:space="preserve">DevOps + microservices: CI gate fits.</t>
  </si>
  <si>
    <t xml:space="preserve">42 Paris</t>
  </si>
  <si>
    <t xml:space="preserve">Paris, France</t>
  </si>
  <si>
    <t xml:space="preserve">42 Network campus</t>
  </si>
  <si>
    <t xml:space="preserve">Peer evaluation culture; large student base.</t>
  </si>
  <si>
    <t xml:space="preserve">INSAT (Institut National des Sciences Appliquées et de Technologie)</t>
  </si>
  <si>
    <t xml:space="preserve">Public engineering school</t>
  </si>
  <si>
    <t xml:space="preserve">Public: budget via department / projects.</t>
  </si>
  <si>
    <t xml:space="preserve">ENSI (École Nationale des Sciences de l'Informatique)</t>
  </si>
  <si>
    <t xml:space="preserve">Manouba, Tunisia</t>
  </si>
  <si>
    <t xml:space="preserve">CS-focused engineering school.</t>
  </si>
  <si>
    <t xml:space="preserve">TEK-UP University</t>
  </si>
  <si>
    <t xml:space="preserve">Private university</t>
  </si>
  <si>
    <t xml:space="preserve">Orange Digital Center Tunisia (coding school)</t>
  </si>
  <si>
    <t xml:space="preserve">Free trainings: campus licence / sponsorship angle.</t>
  </si>
  <si>
    <t xml:space="preserve">Moneycore Smart</t>
  </si>
  <si>
    <t xml:space="preserve">Lists cybersecurity among services → can resell.</t>
  </si>
  <si>
    <t xml:space="preserve">Le Backyard</t>
  </si>
  <si>
    <t xml:space="preserve">Navinspire IA</t>
  </si>
  <si>
    <t xml:space="preserve">AI-native team, quick adopter.</t>
  </si>
  <si>
    <t xml:space="preserve">WOLFNOVA</t>
  </si>
  <si>
    <t xml:space="preserve">Ariana, Tunisia</t>
  </si>
  <si>
    <t xml:space="preserve">OwTalent</t>
  </si>
  <si>
    <t xml:space="preserve">ostrix</t>
  </si>
  <si>
    <t xml:space="preserve">Hammam Sousse, Tunisia</t>
  </si>
  <si>
    <t xml:space="preserve">Vynesus</t>
  </si>
  <si>
    <t xml:space="preserve">xHub</t>
  </si>
  <si>
    <t xml:space="preserve">Casablanca, Morocco</t>
  </si>
  <si>
    <t xml:space="preserve">50–249 (GoodFirms)</t>
  </si>
  <si>
    <t xml:space="preserve">Offshore/nearshore delivery for French-speaking clients; same quality-gate and SARIF evidence need; French UI and self-hosting help with client confidentiality clauses.</t>
  </si>
  <si>
    <t xml:space="preserve">CTO / Delivery manager</t>
  </si>
  <si>
    <t xml:space="preserve">Team plan + CI, 30-day pilot</t>
  </si>
  <si>
    <t xml:space="preserve">Source: goodfirms.co Morocco directory</t>
  </si>
  <si>
    <t xml:space="preserve">Le Wagon</t>
  </si>
  <si>
    <t xml:space="preserve">Paris + global campuses</t>
  </si>
  <si>
    <t xml:space="preserve">Global bootcamp</t>
  </si>
  <si>
    <t xml:space="preserve">Web dev bootcamp, FR/EN.</t>
  </si>
  <si>
    <t xml:space="preserve">O'clock</t>
  </si>
  <si>
    <t xml:space="preserve">France (remote)</t>
  </si>
  <si>
    <t xml:space="preserve">Remote bootcamp</t>
  </si>
  <si>
    <t xml:space="preserve">Remote cohorts → automated review is valuable.</t>
  </si>
  <si>
    <t xml:space="preserve">Institut International de Technologie (IIT)</t>
  </si>
  <si>
    <t xml:space="preserve">Private engineering school</t>
  </si>
  <si>
    <t xml:space="preserve">MedTech – South Mediterranean University</t>
  </si>
  <si>
    <t xml:space="preserve">English-taught programmes.</t>
  </si>
  <si>
    <t xml:space="preserve">EMSI</t>
  </si>
  <si>
    <t xml:space="preserve">Casablanca + other cities, Morocco</t>
  </si>
  <si>
    <t xml:space="preserve">Proxym Group</t>
  </si>
  <si>
    <t xml:space="preserve">Sousse/Tunis, Tunisia</t>
  </si>
  <si>
    <t xml:space="preserve">Mid-size</t>
  </si>
  <si>
    <t xml:space="preserve">Mobile/web delivery for EU clients.</t>
  </si>
  <si>
    <t xml:space="preserve">Softtodo</t>
  </si>
  <si>
    <t xml:space="preserve">UTEEK</t>
  </si>
  <si>
    <t xml:space="preserve">deadLine</t>
  </si>
  <si>
    <t xml:space="preserve">10–49 (GoodFirms)</t>
  </si>
  <si>
    <t xml:space="preserve">Taillis Labs</t>
  </si>
  <si>
    <t xml:space="preserve">Evold</t>
  </si>
  <si>
    <t xml:space="preserve">Rabat, Morocco</t>
  </si>
  <si>
    <t xml:space="preserve">Ada Tech School</t>
  </si>
  <si>
    <t xml:space="preserve">Bootcamp</t>
  </si>
  <si>
    <t xml:space="preserve">Inclusive dev school.</t>
  </si>
  <si>
    <t xml:space="preserve">Epitech</t>
  </si>
  <si>
    <t xml:space="preserve">France (multiple campuses)</t>
  </si>
  <si>
    <t xml:space="preserve">Large private school</t>
  </si>
  <si>
    <t xml:space="preserve">Project-based pedagogy.</t>
  </si>
  <si>
    <t xml:space="preserve">Zone01 Normandie</t>
  </si>
  <si>
    <t xml:space="preserve">Rouen, France</t>
  </si>
  <si>
    <t xml:space="preserve">Peer-learning coding school</t>
  </si>
  <si>
    <t xml:space="preserve">Wevioo</t>
  </si>
  <si>
    <t xml:space="preserve">Cynapsys</t>
  </si>
  <si>
    <t xml:space="preserve">Medianet</t>
  </si>
  <si>
    <t xml:space="preserve">Web agency</t>
  </si>
  <si>
    <t xml:space="preserve">PHP/JS web projects.</t>
  </si>
  <si>
    <t xml:space="preserve">Norsys Afrique</t>
  </si>
  <si>
    <t xml:space="preserve">Marrakech, Morocco</t>
  </si>
  <si>
    <t xml:space="preserve">Mid-size Java ESN</t>
  </si>
  <si>
    <t xml:space="preserve">Java-oriented nearshore of French ESN Norsys.</t>
  </si>
  <si>
    <t xml:space="preserve">FLEXIAPPS</t>
  </si>
  <si>
    <t xml:space="preserve">YANVISION</t>
  </si>
  <si>
    <t xml:space="preserve">Takima</t>
  </si>
  <si>
    <t xml:space="preserve">Java-focused consultancy</t>
  </si>
  <si>
    <t xml:space="preserve">Java/Spring-heavy consultancy: can resell or embed RevIA in delivery (code audits, quality gates) and self-host it for clients who refuse SaaS code tools.</t>
  </si>
  <si>
    <t xml:space="preserve">Practice lead Java / Craft &amp; quality lead</t>
  </si>
  <si>
    <t xml:space="preserve">Reseller / white-label + self-hosted licence</t>
  </si>
  <si>
    <t xml:space="preserve">Volkeno</t>
  </si>
  <si>
    <t xml:space="preserve">Dakar, Senegal</t>
  </si>
  <si>
    <t xml:space="preserve">Dev agency &amp; training</t>
  </si>
  <si>
    <t xml:space="preserve">Growing dev teams with limited budget for US-priced tools; free tier + low per-dev price + local LLM option fit well.</t>
  </si>
  <si>
    <t xml:space="preserve">CTO / Head of engineering</t>
  </si>
  <si>
    <t xml:space="preserve">Free → Pro, startup discount</t>
  </si>
  <si>
    <t xml:space="preserve">Also trains developers → double use.</t>
  </si>
  <si>
    <t xml:space="preserve">ESIEA</t>
  </si>
  <si>
    <t xml:space="preserve">Paris / Laval, France</t>
  </si>
  <si>
    <t xml:space="preserve">Engineering school</t>
  </si>
  <si>
    <t xml:space="preserve">Strong cybersecurity focus.</t>
  </si>
  <si>
    <t xml:space="preserve">ENSIAS</t>
  </si>
  <si>
    <t xml:space="preserve">Teamwill</t>
  </si>
  <si>
    <t xml:space="preserve">Leasing/finance software consulting.</t>
  </si>
  <si>
    <t xml:space="preserve">BFI Group</t>
  </si>
  <si>
    <t xml:space="preserve">Mid-size banking software</t>
  </si>
  <si>
    <t xml:space="preserve">Banking software → security audit evidence.</t>
  </si>
  <si>
    <t xml:space="preserve">Qartivus Technologies</t>
  </si>
  <si>
    <t xml:space="preserve">2–9 (Clutch)</t>
  </si>
  <si>
    <t xml:space="preserve">DevOps + testing services.</t>
  </si>
  <si>
    <t xml:space="preserve">Ippon Technologies</t>
  </si>
  <si>
    <t xml:space="preserve">Mid-size Java/cloud consultancy</t>
  </si>
  <si>
    <t xml:space="preserve">Java/Spring DNA.</t>
  </si>
  <si>
    <t xml:space="preserve">Smile</t>
  </si>
  <si>
    <t xml:space="preserve">Open-source integrator</t>
  </si>
  <si>
    <t xml:space="preserve">Open-source/self-hosted culture.</t>
  </si>
  <si>
    <t xml:space="preserve">Norsys</t>
  </si>
  <si>
    <t xml:space="preserve">Lille, France</t>
  </si>
  <si>
    <t xml:space="preserve">Java ESN</t>
  </si>
  <si>
    <t xml:space="preserve">Java/craftsmanship focus.</t>
  </si>
  <si>
    <t xml:space="preserve">Ironhack Paris</t>
  </si>
  <si>
    <t xml:space="preserve">Global bootcamp, English-first.</t>
  </si>
  <si>
    <t xml:space="preserve">EPITA</t>
  </si>
  <si>
    <t xml:space="preserve">Security track (SRS).</t>
  </si>
  <si>
    <t xml:space="preserve">SUP'COM</t>
  </si>
  <si>
    <t xml:space="preserve">Telecom/IT engineering.</t>
  </si>
  <si>
    <t xml:space="preserve">OXIA</t>
  </si>
  <si>
    <t xml:space="preserve">Mid-size ESN</t>
  </si>
  <si>
    <t xml:space="preserve">Dot-it</t>
  </si>
  <si>
    <t xml:space="preserve">Software house</t>
  </si>
  <si>
    <t xml:space="preserve">Tritux</t>
  </si>
  <si>
    <t xml:space="preserve">Avaxia Group</t>
  </si>
  <si>
    <t xml:space="preserve">Zenika</t>
  </si>
  <si>
    <t xml:space="preserve">Mid-size consultancy</t>
  </si>
  <si>
    <t xml:space="preserve">Historic SpringSource partner (blog.zenika.com).</t>
  </si>
  <si>
    <t xml:space="preserve">Younup</t>
  </si>
  <si>
    <t xml:space="preserve">Nantes, France</t>
  </si>
  <si>
    <t xml:space="preserve">Consultancy</t>
  </si>
  <si>
    <t xml:space="preserve">ALX Africa</t>
  </si>
  <si>
    <t xml:space="preserve">Pan-African (online)</t>
  </si>
  <si>
    <t xml:space="preserve">Very large online programme</t>
  </si>
  <si>
    <t xml:space="preserve">English; scale means a big deal but slow procurement.</t>
  </si>
  <si>
    <t xml:space="preserve">Focus Corporation</t>
  </si>
  <si>
    <t xml:space="preserve">Kaisens Data</t>
  </si>
  <si>
    <t xml:space="preserve">Tunis / Paris</t>
  </si>
  <si>
    <t xml:space="preserve">Data &amp; dev services FR/TN.</t>
  </si>
  <si>
    <t xml:space="preserve">Global Performance Business Services</t>
  </si>
  <si>
    <t xml:space="preserve">SFEIR</t>
  </si>
  <si>
    <t xml:space="preserve">Klee Group</t>
  </si>
  <si>
    <t xml:space="preserve">Software consultancy</t>
  </si>
  <si>
    <t xml:space="preserve">Flat6Labs Tunis</t>
  </si>
  <si>
    <t xml:space="preserve">Startup accelerator</t>
  </si>
  <si>
    <t xml:space="preserve">Not an end buyer: a distribution partner that can put RevIA in front of many startups / dev teams at once.</t>
  </si>
  <si>
    <t xml:space="preserve">Program manager / partnerships</t>
  </si>
  <si>
    <t xml:space="preserve">Partner discount for portfolio companies</t>
  </si>
  <si>
    <t xml:space="preserve">Portfolio-wide startup deal.</t>
  </si>
  <si>
    <t xml:space="preserve">ESI – École nationale Supérieure d'Informatique</t>
  </si>
  <si>
    <t xml:space="preserve">Algiers, Algeria</t>
  </si>
  <si>
    <t xml:space="preserve">ESP – École Supérieure Polytechnique de Dakar</t>
  </si>
  <si>
    <t xml:space="preserve">Semicolon Africa</t>
  </si>
  <si>
    <t xml:space="preserve">Lagos, Nigeria</t>
  </si>
  <si>
    <t xml:space="preserve">English; Java track.</t>
  </si>
  <si>
    <t xml:space="preserve">Integration Objects</t>
  </si>
  <si>
    <t xml:space="preserve">Mid-size industrial software</t>
  </si>
  <si>
    <t xml:space="preserve">Theodo</t>
  </si>
  <si>
    <t xml:space="preserve">Product studio</t>
  </si>
  <si>
    <t xml:space="preserve">Palo IT</t>
  </si>
  <si>
    <t xml:space="preserve">Craft/agile positioning.</t>
  </si>
  <si>
    <t xml:space="preserve">Moringa School</t>
  </si>
  <si>
    <t xml:space="preserve">Nairobi, Kenya</t>
  </si>
  <si>
    <t xml:space="preserve">English.</t>
  </si>
  <si>
    <t xml:space="preserve">VERMEG</t>
  </si>
  <si>
    <t xml:space="preserve">Tunis, Tunisia (+ Brussels)</t>
  </si>
  <si>
    <t xml:space="preserve">1,000–9,999 (Clutch)</t>
  </si>
  <si>
    <t xml:space="preserve">Financial software; large procurement → start with one team. Source: clutch.co/tn</t>
  </si>
  <si>
    <t xml:space="preserve">SQLI Maroc</t>
  </si>
  <si>
    <t xml:space="preserve">Rabat / Oujda, Morocco</t>
  </si>
  <si>
    <t xml:space="preserve">Nearshore centre</t>
  </si>
  <si>
    <t xml:space="preserve">Xebia France</t>
  </si>
  <si>
    <t xml:space="preserve">ekino</t>
  </si>
  <si>
    <t xml:space="preserve">Digital agency (Havas)</t>
  </si>
  <si>
    <t xml:space="preserve">Smart Capital (Startup Tunisia)</t>
  </si>
  <si>
    <t xml:space="preserve">Public startup programme</t>
  </si>
  <si>
    <t xml:space="preserve">Startup Act ecosystem; label + visibility.</t>
  </si>
  <si>
    <t xml:space="preserve">Talan Tunisie (Talan Shore)</t>
  </si>
  <si>
    <t xml:space="preserve">Large nearshore centre</t>
  </si>
  <si>
    <t xml:space="preserve">Source: talan.com/en/practices/shore</t>
  </si>
  <si>
    <t xml:space="preserve">S2M</t>
  </si>
  <si>
    <t xml:space="preserve">Mid/large payments software</t>
  </si>
  <si>
    <t xml:space="preserve">Néosoft</t>
  </si>
  <si>
    <t xml:space="preserve">Rennes, France</t>
  </si>
  <si>
    <t xml:space="preserve">Large consultancy</t>
  </si>
  <si>
    <t xml:space="preserve">Has offshore delivery in Tunisia.</t>
  </si>
  <si>
    <t xml:space="preserve">Viseo</t>
  </si>
  <si>
    <t xml:space="preserve">Lyon / Paris, France</t>
  </si>
  <si>
    <t xml:space="preserve">Onepoint</t>
  </si>
  <si>
    <t xml:space="preserve">Positive Thinking Company</t>
  </si>
  <si>
    <t xml:space="preserve">Telnet Holding</t>
  </si>
  <si>
    <t xml:space="preserve">Large engineering group</t>
  </si>
  <si>
    <t xml:space="preserve">Embedded/C focus: RevIA covers C.</t>
  </si>
  <si>
    <t xml:space="preserve">HPS (Hightech Payment Systems)</t>
  </si>
  <si>
    <t xml:space="preserve">Large, listed payments software</t>
  </si>
  <si>
    <t xml:space="preserve">Payments → strict security, but long procurement.</t>
  </si>
  <si>
    <t xml:space="preserve">Davidson Consulting</t>
  </si>
  <si>
    <t xml:space="preserve">Infotel</t>
  </si>
  <si>
    <t xml:space="preserve">Listed ESN</t>
  </si>
  <si>
    <t xml:space="preserve">SQLI</t>
  </si>
  <si>
    <t xml:space="preserve">Listed digital agency</t>
  </si>
  <si>
    <t xml:space="preserve">Apside</t>
  </si>
  <si>
    <t xml:space="preserve">France</t>
  </si>
  <si>
    <t xml:space="preserve">Large ESN</t>
  </si>
  <si>
    <t xml:space="preserve">Sofrecom Tunisie (Orange group)</t>
  </si>
  <si>
    <t xml:space="preserve">Large</t>
  </si>
  <si>
    <t xml:space="preserve">Group tooling decisions often central (Orange).</t>
  </si>
  <si>
    <t xml:space="preserve">Linedata Tunis</t>
  </si>
  <si>
    <t xml:space="preserve">Dev centre of a listed group</t>
  </si>
  <si>
    <t xml:space="preserve">Groupe SII Maroc</t>
  </si>
  <si>
    <t xml:space="preserve">1,000–9,999 (GoodFirms)</t>
  </si>
  <si>
    <t xml:space="preserve">Aubay</t>
  </si>
  <si>
    <t xml:space="preserve">Centre National de l'Informatique (CNI)</t>
  </si>
  <si>
    <t xml:space="preserve">Public IT agency</t>
  </si>
  <si>
    <t xml:space="preserve">Data-sovereignty constraints: self-hosted RevIA with a local LLM keeps code inside the organisation; secret masking and OWASP mapping support security policy.</t>
  </si>
  <si>
    <t xml:space="preserve">CISO / Head of software development</t>
  </si>
  <si>
    <t xml:space="preserve">Self-hosted licence + Ollama local model + support contract</t>
  </si>
  <si>
    <t xml:space="preserve">Public tender process.</t>
  </si>
  <si>
    <t xml:space="preserve">Sopra HR Software Tunis</t>
  </si>
  <si>
    <t xml:space="preserve">Dev centre of a large group</t>
  </si>
  <si>
    <t xml:space="preserve">Andela</t>
  </si>
  <si>
    <t xml:space="preserve">Pan-African / remote</t>
  </si>
  <si>
    <t xml:space="preserve">Large talent marketplace</t>
  </si>
  <si>
    <t xml:space="preserve">English; code-quality signal for talent, long sales cycle.</t>
  </si>
  <si>
    <t xml:space="preserve">Agence de Développement du Digital (ADD)</t>
  </si>
  <si>
    <t xml:space="preserve">Public agency</t>
  </si>
  <si>
    <t xml:space="preserve">Sénégal Numérique SA (SENUM SA)</t>
  </si>
  <si>
    <t xml:space="preserve">Public digital company</t>
  </si>
  <si>
    <t xml:space="preserve">DINUM / beta.gouv.fr</t>
  </si>
  <si>
    <t xml:space="preserve">Public digital directorate</t>
  </si>
  <si>
    <t xml:space="preserve">Prefers open source → offer an open-core/self-hosted edition.</t>
  </si>
  <si>
    <t xml:space="preserve">BIAT (IT department)</t>
  </si>
  <si>
    <t xml:space="preserve">Large bank</t>
  </si>
  <si>
    <t xml:space="preserve">Regulated; needs on-prem.</t>
  </si>
  <si>
    <t xml:space="preserve">Attijari bank Tunisie (IT department)</t>
  </si>
  <si>
    <t xml:space="preserve">Email FR – école / bootcamp</t>
  </si>
  <si>
    <t xml:space="preserve">Objet : Revue de code IA pour vos apprenants – pilote gratuit d'un mois
Bonjour,
Je suis Nafissa Bridah, élève ingénieure à ESPRIT. Avec mon équipe, nous avons créé RevIA : une IA qui relit le code des apprenants comme un développeur senior (failles OWASP, bugs, bonnes pratiques), explique chaque problème et propose la correction.
Pour une école, cela veut dire : un retour immédiat sur chaque projet, moins de temps de correction pour les formateurs, et un suivi de progression par apprenant. RevIA peut être installé sur vos propres serveurs.
Je vous propose un pilote gratuit d'un mois sur une promotion. Une démo de 2 minutes : [lien vidéo]. Auriez-vous 20 minutes la semaine prochaine ?
Bien cordialement,
Nafissa</t>
  </si>
  <si>
    <t xml:space="preserve">Email FR – ESN / éditeur</t>
  </si>
  <si>
    <t xml:space="preserve">Objet : Un quality gate IA sur vos pull requests, hébergé chez vous
Bonjour,
RevIA relit automatiquement chaque pull request (Java, JS, PHP, Python, C…), signale les failles OWASP et les secrets en dur, propose la correction et bloque le merge sous un score que vous fixez. Les rapports SARIF s'affichent dans GitHub/GitLab et servent de preuve qualité pour vos clients.
Contrairement aux outils américains (24 à 60 $ par développeur et par mois), RevIA s'installe sur vos serveurs, avec le modèle d'IA de votre choix ou un modèle local : le code de vos clients ne sort pas.
Pilote gratuit de 30 jours sur un projet ? Démo de 2 minutes : [lien vidéo].
Cordialement,
Nafissa Bridah</t>
  </si>
  <si>
    <t xml:space="preserve">Email EN – software company</t>
  </si>
  <si>
    <t xml:space="preserve">Subject: AI quality gate on your pull requests, self-hosted
Hi,
RevIA reviews every pull request (Java, JS, PHP, Python, C…), flags OWASP vulnerabilities and hard-coded secrets, proposes the fix and fails the build below the score you set. SARIF reports show up in GitHub/GitLab code scanning.
Unlike US tools priced at $24–60 per developer per month, RevIA can run on your own servers with the LLM of your choice, or a local model, so client code never leaves your network.
Would a free 30-day pilot on one project be useful? 2-minute demo: [video link].
Best regards,
Nafissa Bridah</t>
  </si>
  <si>
    <t xml:space="preserve">LinkedIn note (300 chars)</t>
  </si>
  <si>
    <t xml:space="preserve">Bonjour [Prénom], je développe RevIA, une revue de code IA (OWASP, corrections expliquées, quality gate CI) auto-hébergeable. Je cherche 5 équipes pour un pilote gratuit d'un mois. Ça vous parlerait ?</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</si>
</sst>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sz val="10"/>
      <color rgb="FF0000FF"/>
      <name val="Arial"/>
      <family val="0"/>
      <charset val="1"/>
    </font>
    <font>
      <b val="true"/>
      <sz val="12"/>
      <name val="Arial"/>
      <family val="0"/>
      <charset val="1"/>
    </font>
    <font>
      <b val="true"/>
      <sz val="10"/>
      <color rgb="FFFFFFFF"/>
      <name val="Arial"/>
      <family val="0"/>
      <charset val="1"/>
    </font>
  </fonts>
  <fills count="4">
    <fill>
      <patternFill patternType="none"/>
    </fill>
    <fill>
      <patternFill patternType="gray125"/>
    </fill>
    <fill>
      <patternFill patternType="solid">
        <fgColor rgb="FFFFF7CC"/>
        <bgColor rgb="FFF5F5F5"/>
      </patternFill>
    </fill>
    <fill>
      <patternFill patternType="solid">
        <fgColor rgb="FF3F3FBF"/>
        <bgColor rgb="FF3366FF"/>
      </patternFill>
    </fill>
  </fills>
  <borders count="2">
    <border diagonalUp="false" diagonalDown="false">
      <left/>
      <right/>
      <top/>
      <bottom/>
      <diagonal/>
    </border>
    <border diagonalUp="false" diagonalDown="false">
      <left/>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3F3FBF"/>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D9F2E3"/>
          <bgColor rgb="FF000000"/>
        </patternFill>
      </fill>
    </dxf>
    <dxf>
      <fill>
        <patternFill patternType="solid">
          <fgColor rgb="FFF5F5F5"/>
          <bgColor rgb="FF000000"/>
        </patternFill>
      </fill>
    </dxf>
    <dxf>
      <fill>
        <patternFill patternType="solid">
          <fgColor rgb="FFFFF7CC"/>
          <bgColor rgb="FF000000"/>
        </patternFill>
      </fill>
    </dxf>
    <dxf>
      <fill>
        <patternFill>
          <bgColor rgb="FFD9F2E3"/>
        </patternFill>
      </fill>
    </dxf>
    <dxf>
      <fill>
        <patternFill>
          <bgColor rgb="FFF5F5F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CC"/>
      <rgbColor rgb="FFF5F5F5"/>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D9F2E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B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c r="B12" s="4" t="n">
        <v>75</v>
      </c>
    </row>
    <row r="13" customFormat="false" ht="15" hidden="false" customHeight="false" outlineLevel="0" collapsed="false">
      <c r="A13" s="3" t="s">
        <v>9</v>
      </c>
      <c r="B13" s="4" t="n">
        <v>60</v>
      </c>
    </row>
    <row r="14" customFormat="false" ht="15" hidden="false" customHeight="false" outlineLevel="0" collapsed="false">
      <c r="A14" s="2"/>
    </row>
    <row r="15" customFormat="false" ht="15" hidden="false" customHeight="false" outlineLevel="0" collapsed="false">
      <c r="A15" s="2" t="s">
        <v>10</v>
      </c>
    </row>
    <row r="16" customFormat="false" ht="15" hidden="false" customHeight="false" outlineLevel="0" collapsed="false">
      <c r="A16"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1"/>
  </cols>
  <sheetData>
    <row r="1" customFormat="false" ht="15" hidden="false" customHeight="false" outlineLevel="0" collapsed="false">
      <c r="A1" s="5" t="s">
        <v>12</v>
      </c>
      <c r="B1" s="2"/>
      <c r="C1" s="2"/>
      <c r="D1" s="2"/>
      <c r="E1" s="2"/>
      <c r="F1" s="2"/>
    </row>
    <row r="2" customFormat="false" ht="15" hidden="false" customHeight="false" outlineLevel="0" collapsed="false">
      <c r="A2" s="2"/>
      <c r="B2" s="2"/>
      <c r="C2" s="2"/>
      <c r="D2" s="2"/>
      <c r="E2" s="2"/>
      <c r="F2" s="2"/>
    </row>
    <row r="3" customFormat="false" ht="15" hidden="false" customHeight="false" outlineLevel="0" collapsed="false">
      <c r="A3" s="6" t="s">
        <v>13</v>
      </c>
      <c r="B3" s="6" t="s">
        <v>14</v>
      </c>
      <c r="C3" s="6" t="s">
        <v>15</v>
      </c>
      <c r="D3" s="6" t="s">
        <v>16</v>
      </c>
      <c r="E3" s="6" t="s">
        <v>17</v>
      </c>
      <c r="F3" s="6" t="s">
        <v>18</v>
      </c>
    </row>
    <row r="4" customFormat="false" ht="15" hidden="false" customHeight="false" outlineLevel="0" collapsed="false">
      <c r="A4" s="2" t="s">
        <v>19</v>
      </c>
      <c r="B4" s="2" t="n">
        <f aca="false">COUNTIF(Prospects!$C$2:$C$109,A4)</f>
        <v>30</v>
      </c>
      <c r="C4" s="2" t="n">
        <f aca="false">COUNTIFS(Prospects!$C$2:$C$109,A4,Prospects!$G$2:$G$109,"A")</f>
        <v>5</v>
      </c>
      <c r="D4" s="2" t="n">
        <f aca="false">COUNTIFS(Prospects!$C$2:$C$109,A4,Prospects!$G$2:$G$109,"B")</f>
        <v>21</v>
      </c>
      <c r="E4" s="2" t="n">
        <f aca="false">COUNTIFS(Prospects!$C$2:$C$109,A4,Prospects!$G$2:$G$109,"C")</f>
        <v>4</v>
      </c>
      <c r="F4" s="7" t="n">
        <f aca="false">IFERROR(AVERAGEIF(Prospects!$C$2:$C$109,A4,Prospects!$F$2:$F$109),0)</f>
        <v>68.1333333333333</v>
      </c>
    </row>
    <row r="5" customFormat="false" ht="15" hidden="false" customHeight="false" outlineLevel="0" collapsed="false">
      <c r="A5" s="2" t="s">
        <v>20</v>
      </c>
      <c r="B5" s="2" t="n">
        <f aca="false">COUNTIF(Prospects!$C$2:$C$109,A5)</f>
        <v>35</v>
      </c>
      <c r="C5" s="2" t="n">
        <f aca="false">COUNTIFS(Prospects!$C$2:$C$109,A5,Prospects!$G$2:$G$109,"A")</f>
        <v>0</v>
      </c>
      <c r="D5" s="2" t="n">
        <f aca="false">COUNTIFS(Prospects!$C$2:$C$109,A5,Prospects!$G$2:$G$109,"B")</f>
        <v>28</v>
      </c>
      <c r="E5" s="2" t="n">
        <f aca="false">COUNTIFS(Prospects!$C$2:$C$109,A5,Prospects!$G$2:$G$109,"C")</f>
        <v>7</v>
      </c>
      <c r="F5" s="7" t="n">
        <f aca="false">IFERROR(AVERAGEIF(Prospects!$C$2:$C$109,A5,Prospects!$F$2:$F$109),0)</f>
        <v>64.4571428571429</v>
      </c>
    </row>
    <row r="6" customFormat="false" ht="15" hidden="false" customHeight="false" outlineLevel="0" collapsed="false">
      <c r="A6" s="2" t="s">
        <v>21</v>
      </c>
      <c r="B6" s="2" t="n">
        <f aca="false">COUNTIF(Prospects!$C$2:$C$109,A6)</f>
        <v>12</v>
      </c>
      <c r="C6" s="2" t="n">
        <f aca="false">COUNTIFS(Prospects!$C$2:$C$109,A6,Prospects!$G$2:$G$109,"A")</f>
        <v>0</v>
      </c>
      <c r="D6" s="2" t="n">
        <f aca="false">COUNTIFS(Prospects!$C$2:$C$109,A6,Prospects!$G$2:$G$109,"B")</f>
        <v>8</v>
      </c>
      <c r="E6" s="2" t="n">
        <f aca="false">COUNTIFS(Prospects!$C$2:$C$109,A6,Prospects!$G$2:$G$109,"C")</f>
        <v>4</v>
      </c>
      <c r="F6" s="7" t="n">
        <f aca="false">IFERROR(AVERAGEIF(Prospects!$C$2:$C$109,A6,Prospects!$F$2:$F$109),0)</f>
        <v>62</v>
      </c>
    </row>
    <row r="7" customFormat="false" ht="15" hidden="false" customHeight="false" outlineLevel="0" collapsed="false">
      <c r="A7" s="2" t="s">
        <v>22</v>
      </c>
      <c r="B7" s="2" t="n">
        <f aca="false">COUNTIF(Prospects!$C$2:$C$109,A7)</f>
        <v>21</v>
      </c>
      <c r="C7" s="2" t="n">
        <f aca="false">COUNTIFS(Prospects!$C$2:$C$109,A7,Prospects!$G$2:$G$109,"A")</f>
        <v>0</v>
      </c>
      <c r="D7" s="2" t="n">
        <f aca="false">COUNTIFS(Prospects!$C$2:$C$109,A7,Prospects!$G$2:$G$109,"B")</f>
        <v>8</v>
      </c>
      <c r="E7" s="2" t="n">
        <f aca="false">COUNTIFS(Prospects!$C$2:$C$109,A7,Prospects!$G$2:$G$109,"C")</f>
        <v>13</v>
      </c>
      <c r="F7" s="7" t="n">
        <f aca="false">IFERROR(AVERAGEIF(Prospects!$C$2:$C$109,A7,Prospects!$F$2:$F$109),0)</f>
        <v>57.3333333333333</v>
      </c>
    </row>
    <row r="8" customFormat="false" ht="15" hidden="false" customHeight="false" outlineLevel="0" collapsed="false">
      <c r="A8" s="2" t="s">
        <v>23</v>
      </c>
      <c r="B8" s="2" t="n">
        <f aca="false">COUNTIF(Prospects!$C$2:$C$109,A8)</f>
        <v>2</v>
      </c>
      <c r="C8" s="2" t="n">
        <f aca="false">COUNTIFS(Prospects!$C$2:$C$109,A8,Prospects!$G$2:$G$109,"A")</f>
        <v>0</v>
      </c>
      <c r="D8" s="2" t="n">
        <f aca="false">COUNTIFS(Prospects!$C$2:$C$109,A8,Prospects!$G$2:$G$109,"B")</f>
        <v>1</v>
      </c>
      <c r="E8" s="2" t="n">
        <f aca="false">COUNTIFS(Prospects!$C$2:$C$109,A8,Prospects!$G$2:$G$109,"C")</f>
        <v>1</v>
      </c>
      <c r="F8" s="7" t="n">
        <f aca="false">IFERROR(AVERAGEIF(Prospects!$C$2:$C$109,A8,Prospects!$F$2:$F$109),0)</f>
        <v>57</v>
      </c>
    </row>
    <row r="9" customFormat="false" ht="15" hidden="false" customHeight="false" outlineLevel="0" collapsed="false">
      <c r="A9" s="2" t="s">
        <v>24</v>
      </c>
      <c r="B9" s="2" t="n">
        <f aca="false">COUNTIF(Prospects!$C$2:$C$109,A9)</f>
        <v>6</v>
      </c>
      <c r="C9" s="2" t="n">
        <f aca="false">COUNTIFS(Prospects!$C$2:$C$109,A9,Prospects!$G$2:$G$109,"A")</f>
        <v>0</v>
      </c>
      <c r="D9" s="2" t="n">
        <f aca="false">COUNTIFS(Prospects!$C$2:$C$109,A9,Prospects!$G$2:$G$109,"B")</f>
        <v>0</v>
      </c>
      <c r="E9" s="2" t="n">
        <f aca="false">COUNTIFS(Prospects!$C$2:$C$109,A9,Prospects!$G$2:$G$109,"C")</f>
        <v>6</v>
      </c>
      <c r="F9" s="7" t="n">
        <f aca="false">IFERROR(AVERAGEIF(Prospects!$C$2:$C$109,A9,Prospects!$F$2:$F$109),0)</f>
        <v>47</v>
      </c>
    </row>
    <row r="10" customFormat="false" ht="15" hidden="false" customHeight="false" outlineLevel="0" collapsed="false">
      <c r="A10" s="2" t="s">
        <v>25</v>
      </c>
      <c r="B10" s="2" t="n">
        <f aca="false">COUNTIF(Prospects!$C$2:$C$109,A10)</f>
        <v>2</v>
      </c>
      <c r="C10" s="2" t="n">
        <f aca="false">COUNTIFS(Prospects!$C$2:$C$109,A10,Prospects!$G$2:$G$109,"A")</f>
        <v>0</v>
      </c>
      <c r="D10" s="2" t="n">
        <f aca="false">COUNTIFS(Prospects!$C$2:$C$109,A10,Prospects!$G$2:$G$109,"B")</f>
        <v>1</v>
      </c>
      <c r="E10" s="2" t="n">
        <f aca="false">COUNTIFS(Prospects!$C$2:$C$109,A10,Prospects!$G$2:$G$109,"C")</f>
        <v>1</v>
      </c>
      <c r="F10" s="7" t="n">
        <f aca="false">IFERROR(AVERAGEIF(Prospects!$C$2:$C$109,A10,Prospects!$F$2:$F$109),0)</f>
        <v>57.5</v>
      </c>
    </row>
    <row r="11" customFormat="false" ht="15" hidden="false" customHeight="false" outlineLevel="0" collapsed="false">
      <c r="A11" s="3" t="s">
        <v>14</v>
      </c>
      <c r="B11" s="3" t="n">
        <f aca="false">SUM(B4:B10)</f>
        <v>108</v>
      </c>
      <c r="C11" s="3" t="n">
        <f aca="false">SUM(C4:C10)</f>
        <v>5</v>
      </c>
      <c r="D11" s="3" t="n">
        <f aca="false">SUM(D4:D10)</f>
        <v>67</v>
      </c>
      <c r="E11" s="3" t="n">
        <f aca="false">SUM(E4:E10)</f>
        <v>36</v>
      </c>
      <c r="F11" s="7" t="n">
        <f aca="false">AVERAGE(Prospects!$F$2:$F$109)</f>
        <v>62.5833333333333</v>
      </c>
    </row>
    <row r="12" customFormat="false" ht="15" hidden="false" customHeight="false" outlineLevel="0" collapsed="false">
      <c r="A12" s="2"/>
      <c r="B12" s="2"/>
      <c r="C12" s="2"/>
      <c r="D12" s="2"/>
      <c r="E12" s="2"/>
      <c r="F12" s="2"/>
    </row>
    <row r="13" customFormat="false" ht="15" hidden="false" customHeight="false" outlineLevel="0" collapsed="false">
      <c r="A13" s="3" t="s">
        <v>26</v>
      </c>
      <c r="B13" s="2"/>
      <c r="C13" s="2"/>
      <c r="D13" s="2"/>
      <c r="E13" s="2"/>
      <c r="F13" s="2"/>
    </row>
    <row r="14" customFormat="false" ht="15" hidden="false" customHeight="false" outlineLevel="0" collapsed="false">
      <c r="A14" s="2" t="s">
        <v>27</v>
      </c>
      <c r="B14" s="2" t="n">
        <f aca="false">COUNTIF(Prospects!$L$2:$L$109,A14)</f>
        <v>1</v>
      </c>
      <c r="C14" s="2"/>
      <c r="D14" s="2"/>
      <c r="E14" s="2"/>
      <c r="F14" s="2"/>
    </row>
    <row r="15" customFormat="false" ht="15" hidden="false" customHeight="false" outlineLevel="0" collapsed="false">
      <c r="A15" s="2" t="s">
        <v>28</v>
      </c>
      <c r="B15" s="2" t="n">
        <f aca="false">COUNTIF(Prospects!$L$2:$L$109,A15)</f>
        <v>0</v>
      </c>
      <c r="C15" s="2"/>
      <c r="D15" s="2"/>
      <c r="E15" s="2"/>
      <c r="F15" s="2"/>
    </row>
    <row r="16" customFormat="false" ht="15" hidden="false" customHeight="false" outlineLevel="0" collapsed="false">
      <c r="A16" s="2" t="s">
        <v>29</v>
      </c>
      <c r="B16" s="2" t="n">
        <f aca="false">COUNTIF(Prospects!$L$2:$L$109,A16)</f>
        <v>0</v>
      </c>
      <c r="C16" s="2"/>
      <c r="D16" s="2"/>
      <c r="E16" s="2"/>
      <c r="F16" s="2"/>
    </row>
    <row r="17" customFormat="false" ht="15" hidden="false" customHeight="false" outlineLevel="0" collapsed="false">
      <c r="A17" s="2" t="s">
        <v>30</v>
      </c>
      <c r="B17" s="2" t="n">
        <f aca="false">COUNTIF(Prospects!$L$2:$L$109,A17)</f>
        <v>0</v>
      </c>
      <c r="C17" s="2"/>
      <c r="D17" s="2"/>
      <c r="E17" s="2"/>
      <c r="F17" s="2"/>
    </row>
    <row r="18" customFormat="false" ht="15" hidden="false" customHeight="false" outlineLevel="0" collapsed="false">
      <c r="A18" s="2" t="s">
        <v>31</v>
      </c>
      <c r="B18" s="2" t="n">
        <f aca="false">COUNTIF(Prospects!$L$2:$L$109,A18)</f>
        <v>0</v>
      </c>
      <c r="C18" s="2"/>
      <c r="D18" s="2"/>
      <c r="E18" s="2"/>
      <c r="F18" s="2"/>
    </row>
    <row r="19" customFormat="false" ht="15" hidden="false" customHeight="false" outlineLevel="0" collapsed="false">
      <c r="A19" s="2" t="s">
        <v>32</v>
      </c>
      <c r="B19" s="2" t="n">
        <f aca="false">COUNTIF(Prospects!$L$2:$L$109,A19)</f>
        <v>0</v>
      </c>
      <c r="C19" s="2"/>
      <c r="D19" s="2"/>
      <c r="E19" s="2"/>
      <c r="F19" s="2"/>
    </row>
    <row r="20" customFormat="false" ht="15" hidden="false" customHeight="false" outlineLevel="0" collapsed="false">
      <c r="A20" s="2" t="s">
        <v>33</v>
      </c>
      <c r="B20" s="2" t="n">
        <f aca="false">COUNTIF(Prospects!$L$2:$L$109,A20)</f>
        <v>0</v>
      </c>
      <c r="C20" s="2"/>
      <c r="D20" s="2"/>
      <c r="E20" s="2"/>
      <c r="F2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4" min="3" style="0" width="30"/>
    <col collapsed="false" customWidth="true" hidden="false" outlineLevel="0" max="5" min="5" style="0" width="28"/>
    <col collapsed="false" customWidth="true" hidden="false" outlineLevel="0" max="6" min="6" style="0" width="10"/>
    <col collapsed="false" customWidth="true" hidden="false" outlineLevel="0" max="7" min="7" style="0" width="7"/>
    <col collapsed="false" customWidth="true" hidden="false" outlineLevel="0" max="8" min="8" style="0" width="70"/>
    <col collapsed="false" customWidth="true" hidden="false" outlineLevel="0" max="9" min="9" style="0" width="34"/>
    <col collapsed="false" customWidth="true" hidden="false" outlineLevel="0" max="10" min="10" style="0" width="40"/>
    <col collapsed="false" customWidth="true" hidden="false" outlineLevel="0" max="11" min="11" style="0" width="52"/>
    <col collapsed="false" customWidth="true" hidden="false" outlineLevel="0" max="12" min="12" style="0" width="14"/>
    <col collapsed="false" customWidth="true" hidden="false" outlineLevel="0" max="13" min="13" style="0" width="18"/>
    <col collapsed="false" customWidth="true" hidden="false" outlineLevel="0" max="14" min="14" style="0" width="13"/>
    <col collapsed="false" customWidth="true" hidden="false" outlineLevel="0" max="15" min="15" style="0" width="30"/>
  </cols>
  <sheetData>
    <row r="1" customFormat="false" ht="35.05" hidden="false" customHeight="false" outlineLevel="0" collapsed="false">
      <c r="A1" s="8" t="s">
        <v>34</v>
      </c>
      <c r="B1" s="8" t="s">
        <v>35</v>
      </c>
      <c r="C1" s="8" t="s">
        <v>13</v>
      </c>
      <c r="D1" s="8" t="s">
        <v>36</v>
      </c>
      <c r="E1" s="8" t="s">
        <v>37</v>
      </c>
      <c r="F1" s="8" t="s">
        <v>38</v>
      </c>
      <c r="G1" s="8" t="s">
        <v>39</v>
      </c>
      <c r="H1" s="8" t="s">
        <v>40</v>
      </c>
      <c r="I1" s="8" t="s">
        <v>41</v>
      </c>
      <c r="J1" s="8" t="s">
        <v>42</v>
      </c>
      <c r="K1" s="8" t="s">
        <v>43</v>
      </c>
      <c r="L1" s="8" t="s">
        <v>44</v>
      </c>
      <c r="M1" s="8" t="s">
        <v>45</v>
      </c>
      <c r="N1" s="8" t="s">
        <v>46</v>
      </c>
      <c r="O1" s="8" t="s">
        <v>47</v>
      </c>
    </row>
    <row r="2" customFormat="false" ht="35.05" hidden="false" customHeight="false" outlineLevel="0" collapsed="false">
      <c r="A2" s="9" t="n">
        <v>1</v>
      </c>
      <c r="B2" s="9" t="s">
        <v>48</v>
      </c>
      <c r="C2" s="9" t="s">
        <v>19</v>
      </c>
      <c r="D2" s="9" t="s">
        <v>49</v>
      </c>
      <c r="E2" s="9" t="s">
        <v>50</v>
      </c>
      <c r="F2" s="10" t="n">
        <v>90</v>
      </c>
      <c r="G2" s="11" t="str">
        <f aca="false">IF(F2&gt;='Read me'!$B$12,"A",IF(F2&gt;='Read me'!$B$13,"B","C"))</f>
        <v>A</v>
      </c>
      <c r="H2" s="9" t="s">
        <v>51</v>
      </c>
      <c r="I2" s="9" t="s">
        <v>52</v>
      </c>
      <c r="J2" s="9" t="s">
        <v>53</v>
      </c>
      <c r="K2" s="9" t="s">
        <v>54</v>
      </c>
      <c r="L2" s="12" t="s">
        <v>27</v>
      </c>
      <c r="M2" s="12" t="s">
        <v>55</v>
      </c>
      <c r="N2" s="12"/>
      <c r="O2" s="12"/>
    </row>
    <row r="3" customFormat="false" ht="35.05" hidden="false" customHeight="false" outlineLevel="0" collapsed="false">
      <c r="A3" s="9" t="n">
        <v>2</v>
      </c>
      <c r="B3" s="9" t="s">
        <v>56</v>
      </c>
      <c r="C3" s="9" t="s">
        <v>19</v>
      </c>
      <c r="D3" s="9" t="s">
        <v>57</v>
      </c>
      <c r="E3" s="9" t="s">
        <v>58</v>
      </c>
      <c r="F3" s="10" t="n">
        <v>84</v>
      </c>
      <c r="G3" s="11" t="str">
        <f aca="false">IF(F3&gt;='Read me'!$B$12,"A",IF(F3&gt;='Read me'!$B$13,"B","C"))</f>
        <v>A</v>
      </c>
      <c r="H3" s="9" t="s">
        <v>51</v>
      </c>
      <c r="I3" s="9" t="s">
        <v>52</v>
      </c>
      <c r="J3" s="9" t="s">
        <v>53</v>
      </c>
      <c r="K3" s="9" t="s">
        <v>59</v>
      </c>
      <c r="L3" s="12"/>
      <c r="M3" s="12"/>
      <c r="N3" s="12"/>
      <c r="O3" s="12"/>
    </row>
    <row r="4" customFormat="false" ht="35.05" hidden="false" customHeight="false" outlineLevel="0" collapsed="false">
      <c r="A4" s="9" t="n">
        <v>3</v>
      </c>
      <c r="B4" s="9" t="s">
        <v>60</v>
      </c>
      <c r="C4" s="9" t="s">
        <v>19</v>
      </c>
      <c r="D4" s="9" t="s">
        <v>49</v>
      </c>
      <c r="E4" s="9" t="s">
        <v>61</v>
      </c>
      <c r="F4" s="10" t="n">
        <v>82</v>
      </c>
      <c r="G4" s="11" t="str">
        <f aca="false">IF(F4&gt;='Read me'!$B$12,"A",IF(F4&gt;='Read me'!$B$13,"B","C"))</f>
        <v>A</v>
      </c>
      <c r="H4" s="9" t="s">
        <v>51</v>
      </c>
      <c r="I4" s="9" t="s">
        <v>52</v>
      </c>
      <c r="J4" s="9" t="s">
        <v>53</v>
      </c>
      <c r="K4" s="9" t="s">
        <v>62</v>
      </c>
      <c r="L4" s="12"/>
      <c r="M4" s="12"/>
      <c r="N4" s="12"/>
      <c r="O4" s="12"/>
    </row>
    <row r="5" customFormat="false" ht="35.05" hidden="false" customHeight="false" outlineLevel="0" collapsed="false">
      <c r="A5" s="9" t="n">
        <v>4</v>
      </c>
      <c r="B5" s="9" t="s">
        <v>63</v>
      </c>
      <c r="C5" s="9" t="s">
        <v>19</v>
      </c>
      <c r="D5" s="9" t="s">
        <v>64</v>
      </c>
      <c r="E5" s="9" t="s">
        <v>65</v>
      </c>
      <c r="F5" s="10" t="n">
        <v>76</v>
      </c>
      <c r="G5" s="11" t="str">
        <f aca="false">IF(F5&gt;='Read me'!$B$12,"A",IF(F5&gt;='Read me'!$B$13,"B","C"))</f>
        <v>A</v>
      </c>
      <c r="H5" s="9" t="s">
        <v>51</v>
      </c>
      <c r="I5" s="9" t="s">
        <v>52</v>
      </c>
      <c r="J5" s="9" t="s">
        <v>53</v>
      </c>
      <c r="K5" s="9" t="s">
        <v>66</v>
      </c>
      <c r="L5" s="12"/>
      <c r="M5" s="12"/>
      <c r="N5" s="12"/>
      <c r="O5" s="12"/>
    </row>
    <row r="6" customFormat="false" ht="35.05" hidden="false" customHeight="false" outlineLevel="0" collapsed="false">
      <c r="A6" s="9" t="n">
        <v>5</v>
      </c>
      <c r="B6" s="9" t="s">
        <v>67</v>
      </c>
      <c r="C6" s="9" t="s">
        <v>19</v>
      </c>
      <c r="D6" s="9" t="s">
        <v>68</v>
      </c>
      <c r="E6" s="9" t="s">
        <v>69</v>
      </c>
      <c r="F6" s="10" t="n">
        <v>76</v>
      </c>
      <c r="G6" s="11" t="str">
        <f aca="false">IF(F6&gt;='Read me'!$B$12,"A",IF(F6&gt;='Read me'!$B$13,"B","C"))</f>
        <v>A</v>
      </c>
      <c r="H6" s="9" t="s">
        <v>51</v>
      </c>
      <c r="I6" s="9" t="s">
        <v>52</v>
      </c>
      <c r="J6" s="9" t="s">
        <v>53</v>
      </c>
      <c r="K6" s="9" t="s">
        <v>70</v>
      </c>
      <c r="L6" s="12"/>
      <c r="M6" s="12"/>
      <c r="N6" s="12"/>
      <c r="O6" s="12"/>
    </row>
    <row r="7" customFormat="false" ht="35.05" hidden="false" customHeight="false" outlineLevel="0" collapsed="false">
      <c r="A7" s="9" t="n">
        <v>6</v>
      </c>
      <c r="B7" s="9" t="s">
        <v>71</v>
      </c>
      <c r="C7" s="9" t="s">
        <v>20</v>
      </c>
      <c r="D7" s="9" t="s">
        <v>49</v>
      </c>
      <c r="E7" s="9" t="s">
        <v>72</v>
      </c>
      <c r="F7" s="10" t="n">
        <v>74</v>
      </c>
      <c r="G7" s="11" t="str">
        <f aca="false">IF(F7&gt;='Read me'!$B$12,"A",IF(F7&gt;='Read me'!$B$13,"B","C"))</f>
        <v>B</v>
      </c>
      <c r="H7" s="9" t="s">
        <v>73</v>
      </c>
      <c r="I7" s="9" t="s">
        <v>74</v>
      </c>
      <c r="J7" s="9" t="s">
        <v>75</v>
      </c>
      <c r="K7" s="9" t="s">
        <v>76</v>
      </c>
      <c r="L7" s="12"/>
      <c r="M7" s="12"/>
      <c r="N7" s="12"/>
      <c r="O7" s="12"/>
    </row>
    <row r="8" customFormat="false" ht="35.05" hidden="false" customHeight="false" outlineLevel="0" collapsed="false">
      <c r="A8" s="9" t="n">
        <v>7</v>
      </c>
      <c r="B8" s="9" t="s">
        <v>77</v>
      </c>
      <c r="C8" s="9" t="s">
        <v>20</v>
      </c>
      <c r="D8" s="9" t="s">
        <v>78</v>
      </c>
      <c r="E8" s="9" t="s">
        <v>72</v>
      </c>
      <c r="F8" s="10" t="n">
        <v>74</v>
      </c>
      <c r="G8" s="11" t="str">
        <f aca="false">IF(F8&gt;='Read me'!$B$12,"A",IF(F8&gt;='Read me'!$B$13,"B","C"))</f>
        <v>B</v>
      </c>
      <c r="H8" s="9" t="s">
        <v>73</v>
      </c>
      <c r="I8" s="9" t="s">
        <v>74</v>
      </c>
      <c r="J8" s="9" t="s">
        <v>75</v>
      </c>
      <c r="K8" s="9"/>
      <c r="L8" s="12"/>
      <c r="M8" s="12"/>
      <c r="N8" s="12"/>
      <c r="O8" s="12"/>
    </row>
    <row r="9" customFormat="false" ht="35.05" hidden="false" customHeight="false" outlineLevel="0" collapsed="false">
      <c r="A9" s="9" t="n">
        <v>8</v>
      </c>
      <c r="B9" s="9" t="s">
        <v>79</v>
      </c>
      <c r="C9" s="9" t="s">
        <v>19</v>
      </c>
      <c r="D9" s="9" t="s">
        <v>80</v>
      </c>
      <c r="E9" s="9" t="s">
        <v>81</v>
      </c>
      <c r="F9" s="10" t="n">
        <v>72</v>
      </c>
      <c r="G9" s="11" t="str">
        <f aca="false">IF(F9&gt;='Read me'!$B$12,"A",IF(F9&gt;='Read me'!$B$13,"B","C"))</f>
        <v>B</v>
      </c>
      <c r="H9" s="9" t="s">
        <v>51</v>
      </c>
      <c r="I9" s="9" t="s">
        <v>52</v>
      </c>
      <c r="J9" s="9" t="s">
        <v>53</v>
      </c>
      <c r="K9" s="9" t="s">
        <v>82</v>
      </c>
      <c r="L9" s="12"/>
      <c r="M9" s="12"/>
      <c r="N9" s="12"/>
      <c r="O9" s="12"/>
    </row>
    <row r="10" customFormat="false" ht="35.05" hidden="false" customHeight="false" outlineLevel="0" collapsed="false">
      <c r="A10" s="9" t="n">
        <v>9</v>
      </c>
      <c r="B10" s="9" t="s">
        <v>83</v>
      </c>
      <c r="C10" s="9" t="s">
        <v>19</v>
      </c>
      <c r="D10" s="9" t="s">
        <v>84</v>
      </c>
      <c r="E10" s="9" t="s">
        <v>85</v>
      </c>
      <c r="F10" s="10" t="n">
        <v>72</v>
      </c>
      <c r="G10" s="11" t="str">
        <f aca="false">IF(F10&gt;='Read me'!$B$12,"A",IF(F10&gt;='Read me'!$B$13,"B","C"))</f>
        <v>B</v>
      </c>
      <c r="H10" s="9" t="s">
        <v>51</v>
      </c>
      <c r="I10" s="9" t="s">
        <v>52</v>
      </c>
      <c r="J10" s="9" t="s">
        <v>53</v>
      </c>
      <c r="K10" s="9" t="s">
        <v>86</v>
      </c>
      <c r="L10" s="12"/>
      <c r="M10" s="12"/>
      <c r="N10" s="12"/>
      <c r="O10" s="12"/>
    </row>
    <row r="11" customFormat="false" ht="35.05" hidden="false" customHeight="false" outlineLevel="0" collapsed="false">
      <c r="A11" s="9" t="n">
        <v>10</v>
      </c>
      <c r="B11" s="9" t="s">
        <v>87</v>
      </c>
      <c r="C11" s="9" t="s">
        <v>20</v>
      </c>
      <c r="D11" s="9" t="s">
        <v>88</v>
      </c>
      <c r="E11" s="9" t="s">
        <v>89</v>
      </c>
      <c r="F11" s="10" t="n">
        <v>72</v>
      </c>
      <c r="G11" s="11" t="str">
        <f aca="false">IF(F11&gt;='Read me'!$B$12,"A",IF(F11&gt;='Read me'!$B$13,"B","C"))</f>
        <v>B</v>
      </c>
      <c r="H11" s="9" t="s">
        <v>73</v>
      </c>
      <c r="I11" s="9" t="s">
        <v>74</v>
      </c>
      <c r="J11" s="9" t="s">
        <v>75</v>
      </c>
      <c r="K11" s="9" t="s">
        <v>90</v>
      </c>
      <c r="L11" s="12"/>
      <c r="M11" s="12"/>
      <c r="N11" s="12"/>
      <c r="O11" s="12"/>
    </row>
    <row r="12" customFormat="false" ht="35.05" hidden="false" customHeight="false" outlineLevel="0" collapsed="false">
      <c r="A12" s="9" t="n">
        <v>11</v>
      </c>
      <c r="B12" s="9" t="s">
        <v>91</v>
      </c>
      <c r="C12" s="9" t="s">
        <v>20</v>
      </c>
      <c r="D12" s="9" t="s">
        <v>88</v>
      </c>
      <c r="E12" s="9" t="s">
        <v>89</v>
      </c>
      <c r="F12" s="10" t="n">
        <v>72</v>
      </c>
      <c r="G12" s="11" t="str">
        <f aca="false">IF(F12&gt;='Read me'!$B$12,"A",IF(F12&gt;='Read me'!$B$13,"B","C"))</f>
        <v>B</v>
      </c>
      <c r="H12" s="9" t="s">
        <v>73</v>
      </c>
      <c r="I12" s="9" t="s">
        <v>74</v>
      </c>
      <c r="J12" s="9" t="s">
        <v>75</v>
      </c>
      <c r="K12" s="9" t="s">
        <v>92</v>
      </c>
      <c r="L12" s="12"/>
      <c r="M12" s="12"/>
      <c r="N12" s="12"/>
      <c r="O12" s="12"/>
    </row>
    <row r="13" customFormat="false" ht="35.05" hidden="false" customHeight="false" outlineLevel="0" collapsed="false">
      <c r="A13" s="9" t="n">
        <v>12</v>
      </c>
      <c r="B13" s="9" t="s">
        <v>93</v>
      </c>
      <c r="C13" s="9" t="s">
        <v>20</v>
      </c>
      <c r="D13" s="9" t="s">
        <v>94</v>
      </c>
      <c r="E13" s="9" t="s">
        <v>72</v>
      </c>
      <c r="F13" s="10" t="n">
        <v>72</v>
      </c>
      <c r="G13" s="11" t="str">
        <f aca="false">IF(F13&gt;='Read me'!$B$12,"A",IF(F13&gt;='Read me'!$B$13,"B","C"))</f>
        <v>B</v>
      </c>
      <c r="H13" s="9" t="s">
        <v>73</v>
      </c>
      <c r="I13" s="9" t="s">
        <v>74</v>
      </c>
      <c r="J13" s="9" t="s">
        <v>75</v>
      </c>
      <c r="K13" s="9" t="s">
        <v>95</v>
      </c>
      <c r="L13" s="12"/>
      <c r="M13" s="12"/>
      <c r="N13" s="12"/>
      <c r="O13" s="12"/>
    </row>
    <row r="14" customFormat="false" ht="35.05" hidden="false" customHeight="false" outlineLevel="0" collapsed="false">
      <c r="A14" s="9" t="n">
        <v>13</v>
      </c>
      <c r="B14" s="9" t="s">
        <v>96</v>
      </c>
      <c r="C14" s="9" t="s">
        <v>20</v>
      </c>
      <c r="D14" s="9" t="s">
        <v>49</v>
      </c>
      <c r="E14" s="9" t="s">
        <v>72</v>
      </c>
      <c r="F14" s="10" t="n">
        <v>72</v>
      </c>
      <c r="G14" s="11" t="str">
        <f aca="false">IF(F14&gt;='Read me'!$B$12,"A",IF(F14&gt;='Read me'!$B$13,"B","C"))</f>
        <v>B</v>
      </c>
      <c r="H14" s="9" t="s">
        <v>73</v>
      </c>
      <c r="I14" s="9" t="s">
        <v>74</v>
      </c>
      <c r="J14" s="9" t="s">
        <v>75</v>
      </c>
      <c r="K14" s="9" t="s">
        <v>97</v>
      </c>
      <c r="L14" s="12"/>
      <c r="M14" s="12"/>
      <c r="N14" s="12"/>
      <c r="O14" s="12"/>
    </row>
    <row r="15" customFormat="false" ht="35.05" hidden="false" customHeight="false" outlineLevel="0" collapsed="false">
      <c r="A15" s="9" t="n">
        <v>14</v>
      </c>
      <c r="B15" s="9" t="s">
        <v>98</v>
      </c>
      <c r="C15" s="9" t="s">
        <v>19</v>
      </c>
      <c r="D15" s="9" t="s">
        <v>99</v>
      </c>
      <c r="E15" s="9" t="s">
        <v>100</v>
      </c>
      <c r="F15" s="10" t="n">
        <v>70</v>
      </c>
      <c r="G15" s="11" t="str">
        <f aca="false">IF(F15&gt;='Read me'!$B$12,"A",IF(F15&gt;='Read me'!$B$13,"B","C"))</f>
        <v>B</v>
      </c>
      <c r="H15" s="9" t="s">
        <v>51</v>
      </c>
      <c r="I15" s="9" t="s">
        <v>52</v>
      </c>
      <c r="J15" s="9" t="s">
        <v>53</v>
      </c>
      <c r="K15" s="9" t="s">
        <v>101</v>
      </c>
      <c r="L15" s="12"/>
      <c r="M15" s="12"/>
      <c r="N15" s="12"/>
      <c r="O15" s="12"/>
    </row>
    <row r="16" customFormat="false" ht="35.05" hidden="false" customHeight="false" outlineLevel="0" collapsed="false">
      <c r="A16" s="9" t="n">
        <v>15</v>
      </c>
      <c r="B16" s="9" t="s">
        <v>102</v>
      </c>
      <c r="C16" s="9" t="s">
        <v>19</v>
      </c>
      <c r="D16" s="9" t="s">
        <v>49</v>
      </c>
      <c r="E16" s="9" t="s">
        <v>103</v>
      </c>
      <c r="F16" s="10" t="n">
        <v>70</v>
      </c>
      <c r="G16" s="11" t="str">
        <f aca="false">IF(F16&gt;='Read me'!$B$12,"A",IF(F16&gt;='Read me'!$B$13,"B","C"))</f>
        <v>B</v>
      </c>
      <c r="H16" s="9" t="s">
        <v>51</v>
      </c>
      <c r="I16" s="9" t="s">
        <v>52</v>
      </c>
      <c r="J16" s="9" t="s">
        <v>53</v>
      </c>
      <c r="K16" s="9" t="s">
        <v>104</v>
      </c>
      <c r="L16" s="12"/>
      <c r="M16" s="12"/>
      <c r="N16" s="12"/>
      <c r="O16" s="12"/>
    </row>
    <row r="17" customFormat="false" ht="35.05" hidden="false" customHeight="false" outlineLevel="0" collapsed="false">
      <c r="A17" s="9" t="n">
        <v>16</v>
      </c>
      <c r="B17" s="9" t="s">
        <v>105</v>
      </c>
      <c r="C17" s="9" t="s">
        <v>19</v>
      </c>
      <c r="D17" s="9" t="s">
        <v>106</v>
      </c>
      <c r="E17" s="9" t="s">
        <v>103</v>
      </c>
      <c r="F17" s="10" t="n">
        <v>70</v>
      </c>
      <c r="G17" s="11" t="str">
        <f aca="false">IF(F17&gt;='Read me'!$B$12,"A",IF(F17&gt;='Read me'!$B$13,"B","C"))</f>
        <v>B</v>
      </c>
      <c r="H17" s="9" t="s">
        <v>51</v>
      </c>
      <c r="I17" s="9" t="s">
        <v>52</v>
      </c>
      <c r="J17" s="9" t="s">
        <v>53</v>
      </c>
      <c r="K17" s="9" t="s">
        <v>107</v>
      </c>
      <c r="L17" s="12"/>
      <c r="M17" s="12"/>
      <c r="N17" s="12"/>
      <c r="O17" s="12"/>
    </row>
    <row r="18" customFormat="false" ht="35.05" hidden="false" customHeight="false" outlineLevel="0" collapsed="false">
      <c r="A18" s="9" t="n">
        <v>17</v>
      </c>
      <c r="B18" s="9" t="s">
        <v>108</v>
      </c>
      <c r="C18" s="9" t="s">
        <v>19</v>
      </c>
      <c r="D18" s="9" t="s">
        <v>49</v>
      </c>
      <c r="E18" s="9" t="s">
        <v>109</v>
      </c>
      <c r="F18" s="10" t="n">
        <v>70</v>
      </c>
      <c r="G18" s="11" t="str">
        <f aca="false">IF(F18&gt;='Read me'!$B$12,"A",IF(F18&gt;='Read me'!$B$13,"B","C"))</f>
        <v>B</v>
      </c>
      <c r="H18" s="9" t="s">
        <v>51</v>
      </c>
      <c r="I18" s="9" t="s">
        <v>52</v>
      </c>
      <c r="J18" s="9" t="s">
        <v>53</v>
      </c>
      <c r="K18" s="9"/>
      <c r="L18" s="12"/>
      <c r="M18" s="12"/>
      <c r="N18" s="12"/>
      <c r="O18" s="12"/>
    </row>
    <row r="19" customFormat="false" ht="35.05" hidden="false" customHeight="false" outlineLevel="0" collapsed="false">
      <c r="A19" s="9" t="n">
        <v>18</v>
      </c>
      <c r="B19" s="9" t="s">
        <v>110</v>
      </c>
      <c r="C19" s="9" t="s">
        <v>19</v>
      </c>
      <c r="D19" s="9" t="s">
        <v>49</v>
      </c>
      <c r="E19" s="9" t="s">
        <v>85</v>
      </c>
      <c r="F19" s="10" t="n">
        <v>70</v>
      </c>
      <c r="G19" s="11" t="str">
        <f aca="false">IF(F19&gt;='Read me'!$B$12,"A",IF(F19&gt;='Read me'!$B$13,"B","C"))</f>
        <v>B</v>
      </c>
      <c r="H19" s="9" t="s">
        <v>51</v>
      </c>
      <c r="I19" s="9" t="s">
        <v>52</v>
      </c>
      <c r="J19" s="9" t="s">
        <v>53</v>
      </c>
      <c r="K19" s="9" t="s">
        <v>111</v>
      </c>
      <c r="L19" s="12"/>
      <c r="M19" s="12"/>
      <c r="N19" s="12"/>
      <c r="O19" s="12"/>
    </row>
    <row r="20" customFormat="false" ht="35.05" hidden="false" customHeight="false" outlineLevel="0" collapsed="false">
      <c r="A20" s="9" t="n">
        <v>19</v>
      </c>
      <c r="B20" s="9" t="s">
        <v>112</v>
      </c>
      <c r="C20" s="9" t="s">
        <v>20</v>
      </c>
      <c r="D20" s="9" t="s">
        <v>49</v>
      </c>
      <c r="E20" s="9" t="s">
        <v>89</v>
      </c>
      <c r="F20" s="10" t="n">
        <v>70</v>
      </c>
      <c r="G20" s="11" t="str">
        <f aca="false">IF(F20&gt;='Read me'!$B$12,"A",IF(F20&gt;='Read me'!$B$13,"B","C"))</f>
        <v>B</v>
      </c>
      <c r="H20" s="9" t="s">
        <v>73</v>
      </c>
      <c r="I20" s="9" t="s">
        <v>74</v>
      </c>
      <c r="J20" s="9" t="s">
        <v>75</v>
      </c>
      <c r="K20" s="9" t="s">
        <v>113</v>
      </c>
      <c r="L20" s="12"/>
      <c r="M20" s="12"/>
      <c r="N20" s="12"/>
      <c r="O20" s="12"/>
    </row>
    <row r="21" customFormat="false" ht="35.05" hidden="false" customHeight="false" outlineLevel="0" collapsed="false">
      <c r="A21" s="9" t="n">
        <v>20</v>
      </c>
      <c r="B21" s="9" t="s">
        <v>114</v>
      </c>
      <c r="C21" s="9" t="s">
        <v>20</v>
      </c>
      <c r="D21" s="9" t="s">
        <v>49</v>
      </c>
      <c r="E21" s="9" t="s">
        <v>72</v>
      </c>
      <c r="F21" s="10" t="n">
        <v>70</v>
      </c>
      <c r="G21" s="11" t="str">
        <f aca="false">IF(F21&gt;='Read me'!$B$12,"A",IF(F21&gt;='Read me'!$B$13,"B","C"))</f>
        <v>B</v>
      </c>
      <c r="H21" s="9" t="s">
        <v>73</v>
      </c>
      <c r="I21" s="9" t="s">
        <v>74</v>
      </c>
      <c r="J21" s="9" t="s">
        <v>75</v>
      </c>
      <c r="K21" s="9"/>
      <c r="L21" s="12"/>
      <c r="M21" s="12"/>
      <c r="N21" s="12"/>
      <c r="O21" s="12"/>
    </row>
    <row r="22" customFormat="false" ht="35.05" hidden="false" customHeight="false" outlineLevel="0" collapsed="false">
      <c r="A22" s="9" t="n">
        <v>21</v>
      </c>
      <c r="B22" s="9" t="s">
        <v>115</v>
      </c>
      <c r="C22" s="9" t="s">
        <v>20</v>
      </c>
      <c r="D22" s="9" t="s">
        <v>49</v>
      </c>
      <c r="E22" s="9" t="s">
        <v>72</v>
      </c>
      <c r="F22" s="10" t="n">
        <v>70</v>
      </c>
      <c r="G22" s="11" t="str">
        <f aca="false">IF(F22&gt;='Read me'!$B$12,"A",IF(F22&gt;='Read me'!$B$13,"B","C"))</f>
        <v>B</v>
      </c>
      <c r="H22" s="9" t="s">
        <v>73</v>
      </c>
      <c r="I22" s="9" t="s">
        <v>74</v>
      </c>
      <c r="J22" s="9" t="s">
        <v>75</v>
      </c>
      <c r="K22" s="9" t="s">
        <v>116</v>
      </c>
      <c r="L22" s="12"/>
      <c r="M22" s="12"/>
      <c r="N22" s="12"/>
      <c r="O22" s="12"/>
    </row>
    <row r="23" customFormat="false" ht="35.05" hidden="false" customHeight="false" outlineLevel="0" collapsed="false">
      <c r="A23" s="9" t="n">
        <v>22</v>
      </c>
      <c r="B23" s="9" t="s">
        <v>117</v>
      </c>
      <c r="C23" s="9" t="s">
        <v>20</v>
      </c>
      <c r="D23" s="9" t="s">
        <v>118</v>
      </c>
      <c r="E23" s="9" t="s">
        <v>72</v>
      </c>
      <c r="F23" s="10" t="n">
        <v>70</v>
      </c>
      <c r="G23" s="11" t="str">
        <f aca="false">IF(F23&gt;='Read me'!$B$12,"A",IF(F23&gt;='Read me'!$B$13,"B","C"))</f>
        <v>B</v>
      </c>
      <c r="H23" s="9" t="s">
        <v>73</v>
      </c>
      <c r="I23" s="9" t="s">
        <v>74</v>
      </c>
      <c r="J23" s="9" t="s">
        <v>75</v>
      </c>
      <c r="K23" s="9"/>
      <c r="L23" s="12"/>
      <c r="M23" s="12"/>
      <c r="N23" s="12"/>
      <c r="O23" s="12"/>
    </row>
    <row r="24" customFormat="false" ht="35.05" hidden="false" customHeight="false" outlineLevel="0" collapsed="false">
      <c r="A24" s="9" t="n">
        <v>23</v>
      </c>
      <c r="B24" s="9" t="s">
        <v>119</v>
      </c>
      <c r="C24" s="9" t="s">
        <v>20</v>
      </c>
      <c r="D24" s="9" t="s">
        <v>78</v>
      </c>
      <c r="E24" s="9" t="s">
        <v>72</v>
      </c>
      <c r="F24" s="10" t="n">
        <v>70</v>
      </c>
      <c r="G24" s="11" t="str">
        <f aca="false">IF(F24&gt;='Read me'!$B$12,"A",IF(F24&gt;='Read me'!$B$13,"B","C"))</f>
        <v>B</v>
      </c>
      <c r="H24" s="9" t="s">
        <v>73</v>
      </c>
      <c r="I24" s="9" t="s">
        <v>74</v>
      </c>
      <c r="J24" s="9" t="s">
        <v>75</v>
      </c>
      <c r="K24" s="9" t="s">
        <v>95</v>
      </c>
      <c r="L24" s="12"/>
      <c r="M24" s="12"/>
      <c r="N24" s="12"/>
      <c r="O24" s="12"/>
    </row>
    <row r="25" customFormat="false" ht="35.05" hidden="false" customHeight="false" outlineLevel="0" collapsed="false">
      <c r="A25" s="9" t="n">
        <v>24</v>
      </c>
      <c r="B25" s="9" t="s">
        <v>120</v>
      </c>
      <c r="C25" s="9" t="s">
        <v>20</v>
      </c>
      <c r="D25" s="9" t="s">
        <v>121</v>
      </c>
      <c r="E25" s="9" t="s">
        <v>72</v>
      </c>
      <c r="F25" s="10" t="n">
        <v>70</v>
      </c>
      <c r="G25" s="11" t="str">
        <f aca="false">IF(F25&gt;='Read me'!$B$12,"A",IF(F25&gt;='Read me'!$B$13,"B","C"))</f>
        <v>B</v>
      </c>
      <c r="H25" s="9" t="s">
        <v>73</v>
      </c>
      <c r="I25" s="9" t="s">
        <v>74</v>
      </c>
      <c r="J25" s="9" t="s">
        <v>75</v>
      </c>
      <c r="K25" s="9"/>
      <c r="L25" s="12"/>
      <c r="M25" s="12"/>
      <c r="N25" s="12"/>
      <c r="O25" s="12"/>
    </row>
    <row r="26" customFormat="false" ht="35.05" hidden="false" customHeight="false" outlineLevel="0" collapsed="false">
      <c r="A26" s="9" t="n">
        <v>25</v>
      </c>
      <c r="B26" s="9" t="s">
        <v>122</v>
      </c>
      <c r="C26" s="9" t="s">
        <v>20</v>
      </c>
      <c r="D26" s="9" t="s">
        <v>121</v>
      </c>
      <c r="E26" s="9" t="s">
        <v>72</v>
      </c>
      <c r="F26" s="10" t="n">
        <v>70</v>
      </c>
      <c r="G26" s="11" t="str">
        <f aca="false">IF(F26&gt;='Read me'!$B$12,"A",IF(F26&gt;='Read me'!$B$13,"B","C"))</f>
        <v>B</v>
      </c>
      <c r="H26" s="9" t="s">
        <v>73</v>
      </c>
      <c r="I26" s="9" t="s">
        <v>74</v>
      </c>
      <c r="J26" s="9" t="s">
        <v>75</v>
      </c>
      <c r="K26" s="9" t="s">
        <v>95</v>
      </c>
      <c r="L26" s="12"/>
      <c r="M26" s="12"/>
      <c r="N26" s="12"/>
      <c r="O26" s="12"/>
    </row>
    <row r="27" customFormat="false" ht="23.85" hidden="false" customHeight="false" outlineLevel="0" collapsed="false">
      <c r="A27" s="9" t="n">
        <v>26</v>
      </c>
      <c r="B27" s="9" t="s">
        <v>123</v>
      </c>
      <c r="C27" s="9" t="s">
        <v>21</v>
      </c>
      <c r="D27" s="9" t="s">
        <v>124</v>
      </c>
      <c r="E27" s="9" t="s">
        <v>125</v>
      </c>
      <c r="F27" s="10" t="n">
        <v>70</v>
      </c>
      <c r="G27" s="11" t="str">
        <f aca="false">IF(F27&gt;='Read me'!$B$12,"A",IF(F27&gt;='Read me'!$B$13,"B","C"))</f>
        <v>B</v>
      </c>
      <c r="H27" s="9" t="s">
        <v>126</v>
      </c>
      <c r="I27" s="9" t="s">
        <v>127</v>
      </c>
      <c r="J27" s="9" t="s">
        <v>128</v>
      </c>
      <c r="K27" s="9" t="s">
        <v>129</v>
      </c>
      <c r="L27" s="12"/>
      <c r="M27" s="12"/>
      <c r="N27" s="12"/>
      <c r="O27" s="12"/>
    </row>
    <row r="28" customFormat="false" ht="35.05" hidden="false" customHeight="false" outlineLevel="0" collapsed="false">
      <c r="A28" s="9" t="n">
        <v>27</v>
      </c>
      <c r="B28" s="9" t="s">
        <v>130</v>
      </c>
      <c r="C28" s="9" t="s">
        <v>19</v>
      </c>
      <c r="D28" s="9" t="s">
        <v>131</v>
      </c>
      <c r="E28" s="9" t="s">
        <v>132</v>
      </c>
      <c r="F28" s="10" t="n">
        <v>68</v>
      </c>
      <c r="G28" s="11" t="str">
        <f aca="false">IF(F28&gt;='Read me'!$B$12,"A",IF(F28&gt;='Read me'!$B$13,"B","C"))</f>
        <v>B</v>
      </c>
      <c r="H28" s="9" t="s">
        <v>51</v>
      </c>
      <c r="I28" s="9" t="s">
        <v>52</v>
      </c>
      <c r="J28" s="9" t="s">
        <v>53</v>
      </c>
      <c r="K28" s="9" t="s">
        <v>133</v>
      </c>
      <c r="L28" s="12"/>
      <c r="M28" s="12"/>
      <c r="N28" s="12"/>
      <c r="O28" s="12"/>
    </row>
    <row r="29" customFormat="false" ht="35.05" hidden="false" customHeight="false" outlineLevel="0" collapsed="false">
      <c r="A29" s="9" t="n">
        <v>28</v>
      </c>
      <c r="B29" s="9" t="s">
        <v>134</v>
      </c>
      <c r="C29" s="9" t="s">
        <v>19</v>
      </c>
      <c r="D29" s="9" t="s">
        <v>135</v>
      </c>
      <c r="E29" s="9" t="s">
        <v>136</v>
      </c>
      <c r="F29" s="10" t="n">
        <v>68</v>
      </c>
      <c r="G29" s="11" t="str">
        <f aca="false">IF(F29&gt;='Read me'!$B$12,"A",IF(F29&gt;='Read me'!$B$13,"B","C"))</f>
        <v>B</v>
      </c>
      <c r="H29" s="9" t="s">
        <v>51</v>
      </c>
      <c r="I29" s="9" t="s">
        <v>52</v>
      </c>
      <c r="J29" s="9" t="s">
        <v>53</v>
      </c>
      <c r="K29" s="9" t="s">
        <v>137</v>
      </c>
      <c r="L29" s="12"/>
      <c r="M29" s="12"/>
      <c r="N29" s="12"/>
      <c r="O29" s="12"/>
    </row>
    <row r="30" customFormat="false" ht="35.05" hidden="false" customHeight="false" outlineLevel="0" collapsed="false">
      <c r="A30" s="9" t="n">
        <v>29</v>
      </c>
      <c r="B30" s="9" t="s">
        <v>138</v>
      </c>
      <c r="C30" s="9" t="s">
        <v>19</v>
      </c>
      <c r="D30" s="9" t="s">
        <v>78</v>
      </c>
      <c r="E30" s="9" t="s">
        <v>139</v>
      </c>
      <c r="F30" s="10" t="n">
        <v>68</v>
      </c>
      <c r="G30" s="11" t="str">
        <f aca="false">IF(F30&gt;='Read me'!$B$12,"A",IF(F30&gt;='Read me'!$B$13,"B","C"))</f>
        <v>B</v>
      </c>
      <c r="H30" s="9" t="s">
        <v>51</v>
      </c>
      <c r="I30" s="9" t="s">
        <v>52</v>
      </c>
      <c r="J30" s="9" t="s">
        <v>53</v>
      </c>
      <c r="K30" s="9"/>
      <c r="L30" s="12"/>
      <c r="M30" s="12"/>
      <c r="N30" s="12"/>
      <c r="O30" s="12"/>
    </row>
    <row r="31" customFormat="false" ht="35.05" hidden="false" customHeight="false" outlineLevel="0" collapsed="false">
      <c r="A31" s="9" t="n">
        <v>30</v>
      </c>
      <c r="B31" s="9" t="s">
        <v>140</v>
      </c>
      <c r="C31" s="9" t="s">
        <v>19</v>
      </c>
      <c r="D31" s="9" t="s">
        <v>49</v>
      </c>
      <c r="E31" s="9" t="s">
        <v>139</v>
      </c>
      <c r="F31" s="10" t="n">
        <v>68</v>
      </c>
      <c r="G31" s="11" t="str">
        <f aca="false">IF(F31&gt;='Read me'!$B$12,"A",IF(F31&gt;='Read me'!$B$13,"B","C"))</f>
        <v>B</v>
      </c>
      <c r="H31" s="9" t="s">
        <v>51</v>
      </c>
      <c r="I31" s="9" t="s">
        <v>52</v>
      </c>
      <c r="J31" s="9" t="s">
        <v>53</v>
      </c>
      <c r="K31" s="9" t="s">
        <v>141</v>
      </c>
      <c r="L31" s="12"/>
      <c r="M31" s="12"/>
      <c r="N31" s="12"/>
      <c r="O31" s="12"/>
    </row>
    <row r="32" customFormat="false" ht="35.05" hidden="false" customHeight="false" outlineLevel="0" collapsed="false">
      <c r="A32" s="9" t="n">
        <v>31</v>
      </c>
      <c r="B32" s="9" t="s">
        <v>142</v>
      </c>
      <c r="C32" s="9" t="s">
        <v>19</v>
      </c>
      <c r="D32" s="9" t="s">
        <v>143</v>
      </c>
      <c r="E32" s="9" t="s">
        <v>139</v>
      </c>
      <c r="F32" s="10" t="n">
        <v>68</v>
      </c>
      <c r="G32" s="11" t="str">
        <f aca="false">IF(F32&gt;='Read me'!$B$12,"A",IF(F32&gt;='Read me'!$B$13,"B","C"))</f>
        <v>B</v>
      </c>
      <c r="H32" s="9" t="s">
        <v>51</v>
      </c>
      <c r="I32" s="9" t="s">
        <v>52</v>
      </c>
      <c r="J32" s="9" t="s">
        <v>53</v>
      </c>
      <c r="K32" s="9"/>
      <c r="L32" s="12"/>
      <c r="M32" s="12"/>
      <c r="N32" s="12"/>
      <c r="O32" s="12"/>
    </row>
    <row r="33" customFormat="false" ht="35.05" hidden="false" customHeight="false" outlineLevel="0" collapsed="false">
      <c r="A33" s="9" t="n">
        <v>32</v>
      </c>
      <c r="B33" s="9" t="s">
        <v>144</v>
      </c>
      <c r="C33" s="9" t="s">
        <v>20</v>
      </c>
      <c r="D33" s="9" t="s">
        <v>145</v>
      </c>
      <c r="E33" s="9" t="s">
        <v>146</v>
      </c>
      <c r="F33" s="10" t="n">
        <v>68</v>
      </c>
      <c r="G33" s="11" t="str">
        <f aca="false">IF(F33&gt;='Read me'!$B$12,"A",IF(F33&gt;='Read me'!$B$13,"B","C"))</f>
        <v>B</v>
      </c>
      <c r="H33" s="9" t="s">
        <v>73</v>
      </c>
      <c r="I33" s="9" t="s">
        <v>74</v>
      </c>
      <c r="J33" s="9" t="s">
        <v>75</v>
      </c>
      <c r="K33" s="9" t="s">
        <v>147</v>
      </c>
      <c r="L33" s="12"/>
      <c r="M33" s="12"/>
      <c r="N33" s="12"/>
      <c r="O33" s="12"/>
    </row>
    <row r="34" customFormat="false" ht="35.05" hidden="false" customHeight="false" outlineLevel="0" collapsed="false">
      <c r="A34" s="9" t="n">
        <v>33</v>
      </c>
      <c r="B34" s="9" t="s">
        <v>148</v>
      </c>
      <c r="C34" s="9" t="s">
        <v>20</v>
      </c>
      <c r="D34" s="9" t="s">
        <v>78</v>
      </c>
      <c r="E34" s="9" t="s">
        <v>72</v>
      </c>
      <c r="F34" s="10" t="n">
        <v>68</v>
      </c>
      <c r="G34" s="11" t="str">
        <f aca="false">IF(F34&gt;='Read me'!$B$12,"A",IF(F34&gt;='Read me'!$B$13,"B","C"))</f>
        <v>B</v>
      </c>
      <c r="H34" s="9" t="s">
        <v>73</v>
      </c>
      <c r="I34" s="9" t="s">
        <v>74</v>
      </c>
      <c r="J34" s="9" t="s">
        <v>75</v>
      </c>
      <c r="K34" s="9"/>
      <c r="L34" s="12"/>
      <c r="M34" s="12"/>
      <c r="N34" s="12"/>
      <c r="O34" s="12"/>
    </row>
    <row r="35" customFormat="false" ht="35.05" hidden="false" customHeight="false" outlineLevel="0" collapsed="false">
      <c r="A35" s="9" t="n">
        <v>34</v>
      </c>
      <c r="B35" s="9" t="s">
        <v>149</v>
      </c>
      <c r="C35" s="9" t="s">
        <v>20</v>
      </c>
      <c r="D35" s="9" t="s">
        <v>49</v>
      </c>
      <c r="E35" s="9" t="s">
        <v>72</v>
      </c>
      <c r="F35" s="10" t="n">
        <v>68</v>
      </c>
      <c r="G35" s="11" t="str">
        <f aca="false">IF(F35&gt;='Read me'!$B$12,"A",IF(F35&gt;='Read me'!$B$13,"B","C"))</f>
        <v>B</v>
      </c>
      <c r="H35" s="9" t="s">
        <v>73</v>
      </c>
      <c r="I35" s="9" t="s">
        <v>74</v>
      </c>
      <c r="J35" s="9" t="s">
        <v>75</v>
      </c>
      <c r="K35" s="9"/>
      <c r="L35" s="12"/>
      <c r="M35" s="12"/>
      <c r="N35" s="12"/>
      <c r="O35" s="12"/>
    </row>
    <row r="36" customFormat="false" ht="23.85" hidden="false" customHeight="false" outlineLevel="0" collapsed="false">
      <c r="A36" s="9" t="n">
        <v>35</v>
      </c>
      <c r="B36" s="9" t="s">
        <v>150</v>
      </c>
      <c r="C36" s="9" t="s">
        <v>21</v>
      </c>
      <c r="D36" s="9" t="s">
        <v>124</v>
      </c>
      <c r="E36" s="9" t="s">
        <v>151</v>
      </c>
      <c r="F36" s="10" t="n">
        <v>68</v>
      </c>
      <c r="G36" s="11" t="str">
        <f aca="false">IF(F36&gt;='Read me'!$B$12,"A",IF(F36&gt;='Read me'!$B$13,"B","C"))</f>
        <v>B</v>
      </c>
      <c r="H36" s="9" t="s">
        <v>126</v>
      </c>
      <c r="I36" s="9" t="s">
        <v>127</v>
      </c>
      <c r="J36" s="9" t="s">
        <v>128</v>
      </c>
      <c r="K36" s="9"/>
      <c r="L36" s="12"/>
      <c r="M36" s="12"/>
      <c r="N36" s="12"/>
      <c r="O36" s="12"/>
    </row>
    <row r="37" customFormat="false" ht="23.85" hidden="false" customHeight="false" outlineLevel="0" collapsed="false">
      <c r="A37" s="9" t="n">
        <v>36</v>
      </c>
      <c r="B37" s="9" t="s">
        <v>152</v>
      </c>
      <c r="C37" s="9" t="s">
        <v>21</v>
      </c>
      <c r="D37" s="9" t="s">
        <v>124</v>
      </c>
      <c r="E37" s="9" t="s">
        <v>151</v>
      </c>
      <c r="F37" s="10" t="n">
        <v>68</v>
      </c>
      <c r="G37" s="11" t="str">
        <f aca="false">IF(F37&gt;='Read me'!$B$12,"A",IF(F37&gt;='Read me'!$B$13,"B","C"))</f>
        <v>B</v>
      </c>
      <c r="H37" s="9" t="s">
        <v>126</v>
      </c>
      <c r="I37" s="9" t="s">
        <v>127</v>
      </c>
      <c r="J37" s="9" t="s">
        <v>128</v>
      </c>
      <c r="K37" s="9"/>
      <c r="L37" s="12"/>
      <c r="M37" s="12"/>
      <c r="N37" s="12"/>
      <c r="O37" s="12"/>
    </row>
    <row r="38" customFormat="false" ht="23.85" hidden="false" customHeight="false" outlineLevel="0" collapsed="false">
      <c r="A38" s="9" t="n">
        <v>37</v>
      </c>
      <c r="B38" s="9" t="s">
        <v>153</v>
      </c>
      <c r="C38" s="9" t="s">
        <v>21</v>
      </c>
      <c r="D38" s="9" t="s">
        <v>154</v>
      </c>
      <c r="E38" s="9" t="s">
        <v>151</v>
      </c>
      <c r="F38" s="10" t="n">
        <v>68</v>
      </c>
      <c r="G38" s="11" t="str">
        <f aca="false">IF(F38&gt;='Read me'!$B$12,"A",IF(F38&gt;='Read me'!$B$13,"B","C"))</f>
        <v>B</v>
      </c>
      <c r="H38" s="9" t="s">
        <v>126</v>
      </c>
      <c r="I38" s="9" t="s">
        <v>127</v>
      </c>
      <c r="J38" s="9" t="s">
        <v>128</v>
      </c>
      <c r="K38" s="9"/>
      <c r="L38" s="12"/>
      <c r="M38" s="12"/>
      <c r="N38" s="12"/>
      <c r="O38" s="12"/>
    </row>
    <row r="39" customFormat="false" ht="35.05" hidden="false" customHeight="false" outlineLevel="0" collapsed="false">
      <c r="A39" s="9" t="n">
        <v>38</v>
      </c>
      <c r="B39" s="9" t="s">
        <v>155</v>
      </c>
      <c r="C39" s="9" t="s">
        <v>19</v>
      </c>
      <c r="D39" s="9" t="s">
        <v>99</v>
      </c>
      <c r="E39" s="9" t="s">
        <v>156</v>
      </c>
      <c r="F39" s="10" t="n">
        <v>66</v>
      </c>
      <c r="G39" s="11" t="str">
        <f aca="false">IF(F39&gt;='Read me'!$B$12,"A",IF(F39&gt;='Read me'!$B$13,"B","C"))</f>
        <v>B</v>
      </c>
      <c r="H39" s="9" t="s">
        <v>51</v>
      </c>
      <c r="I39" s="9" t="s">
        <v>52</v>
      </c>
      <c r="J39" s="9" t="s">
        <v>53</v>
      </c>
      <c r="K39" s="9" t="s">
        <v>157</v>
      </c>
      <c r="L39" s="12"/>
      <c r="M39" s="12"/>
      <c r="N39" s="12"/>
      <c r="O39" s="12"/>
    </row>
    <row r="40" customFormat="false" ht="35.05" hidden="false" customHeight="false" outlineLevel="0" collapsed="false">
      <c r="A40" s="9" t="n">
        <v>39</v>
      </c>
      <c r="B40" s="9" t="s">
        <v>158</v>
      </c>
      <c r="C40" s="9" t="s">
        <v>19</v>
      </c>
      <c r="D40" s="9" t="s">
        <v>159</v>
      </c>
      <c r="E40" s="9" t="s">
        <v>160</v>
      </c>
      <c r="F40" s="10" t="n">
        <v>66</v>
      </c>
      <c r="G40" s="11" t="str">
        <f aca="false">IF(F40&gt;='Read me'!$B$12,"A",IF(F40&gt;='Read me'!$B$13,"B","C"))</f>
        <v>B</v>
      </c>
      <c r="H40" s="9" t="s">
        <v>51</v>
      </c>
      <c r="I40" s="9" t="s">
        <v>52</v>
      </c>
      <c r="J40" s="9" t="s">
        <v>53</v>
      </c>
      <c r="K40" s="9" t="s">
        <v>161</v>
      </c>
      <c r="L40" s="12"/>
      <c r="M40" s="12"/>
      <c r="N40" s="12"/>
      <c r="O40" s="12"/>
    </row>
    <row r="41" customFormat="false" ht="35.05" hidden="false" customHeight="false" outlineLevel="0" collapsed="false">
      <c r="A41" s="9" t="n">
        <v>40</v>
      </c>
      <c r="B41" s="9" t="s">
        <v>162</v>
      </c>
      <c r="C41" s="9" t="s">
        <v>19</v>
      </c>
      <c r="D41" s="9" t="s">
        <v>163</v>
      </c>
      <c r="E41" s="9" t="s">
        <v>164</v>
      </c>
      <c r="F41" s="10" t="n">
        <v>66</v>
      </c>
      <c r="G41" s="11" t="str">
        <f aca="false">IF(F41&gt;='Read me'!$B$12,"A",IF(F41&gt;='Read me'!$B$13,"B","C"))</f>
        <v>B</v>
      </c>
      <c r="H41" s="9" t="s">
        <v>51</v>
      </c>
      <c r="I41" s="9" t="s">
        <v>52</v>
      </c>
      <c r="J41" s="9" t="s">
        <v>53</v>
      </c>
      <c r="K41" s="9"/>
      <c r="L41" s="12"/>
      <c r="M41" s="12"/>
      <c r="N41" s="12"/>
      <c r="O41" s="12"/>
    </row>
    <row r="42" customFormat="false" ht="35.05" hidden="false" customHeight="false" outlineLevel="0" collapsed="false">
      <c r="A42" s="9" t="n">
        <v>41</v>
      </c>
      <c r="B42" s="9" t="s">
        <v>165</v>
      </c>
      <c r="C42" s="9" t="s">
        <v>20</v>
      </c>
      <c r="D42" s="9" t="s">
        <v>49</v>
      </c>
      <c r="E42" s="9" t="s">
        <v>146</v>
      </c>
      <c r="F42" s="10" t="n">
        <v>66</v>
      </c>
      <c r="G42" s="11" t="str">
        <f aca="false">IF(F42&gt;='Read me'!$B$12,"A",IF(F42&gt;='Read me'!$B$13,"B","C"))</f>
        <v>B</v>
      </c>
      <c r="H42" s="9" t="s">
        <v>73</v>
      </c>
      <c r="I42" s="9" t="s">
        <v>74</v>
      </c>
      <c r="J42" s="9" t="s">
        <v>75</v>
      </c>
      <c r="K42" s="9"/>
      <c r="L42" s="12"/>
      <c r="M42" s="12"/>
      <c r="N42" s="12"/>
      <c r="O42" s="12"/>
    </row>
    <row r="43" customFormat="false" ht="35.05" hidden="false" customHeight="false" outlineLevel="0" collapsed="false">
      <c r="A43" s="9" t="n">
        <v>42</v>
      </c>
      <c r="B43" s="9" t="s">
        <v>166</v>
      </c>
      <c r="C43" s="9" t="s">
        <v>20</v>
      </c>
      <c r="D43" s="9" t="s">
        <v>49</v>
      </c>
      <c r="E43" s="9" t="s">
        <v>146</v>
      </c>
      <c r="F43" s="10" t="n">
        <v>66</v>
      </c>
      <c r="G43" s="11" t="str">
        <f aca="false">IF(F43&gt;='Read me'!$B$12,"A",IF(F43&gt;='Read me'!$B$13,"B","C"))</f>
        <v>B</v>
      </c>
      <c r="H43" s="9" t="s">
        <v>73</v>
      </c>
      <c r="I43" s="9" t="s">
        <v>74</v>
      </c>
      <c r="J43" s="9" t="s">
        <v>75</v>
      </c>
      <c r="K43" s="9"/>
      <c r="L43" s="12"/>
      <c r="M43" s="12"/>
      <c r="N43" s="12"/>
      <c r="O43" s="12"/>
    </row>
    <row r="44" customFormat="false" ht="35.05" hidden="false" customHeight="false" outlineLevel="0" collapsed="false">
      <c r="A44" s="9" t="n">
        <v>43</v>
      </c>
      <c r="B44" s="9" t="s">
        <v>167</v>
      </c>
      <c r="C44" s="9" t="s">
        <v>20</v>
      </c>
      <c r="D44" s="9" t="s">
        <v>49</v>
      </c>
      <c r="E44" s="9" t="s">
        <v>168</v>
      </c>
      <c r="F44" s="10" t="n">
        <v>66</v>
      </c>
      <c r="G44" s="11" t="str">
        <f aca="false">IF(F44&gt;='Read me'!$B$12,"A",IF(F44&gt;='Read me'!$B$13,"B","C"))</f>
        <v>B</v>
      </c>
      <c r="H44" s="9" t="s">
        <v>73</v>
      </c>
      <c r="I44" s="9" t="s">
        <v>74</v>
      </c>
      <c r="J44" s="9" t="s">
        <v>75</v>
      </c>
      <c r="K44" s="9" t="s">
        <v>169</v>
      </c>
      <c r="L44" s="12"/>
      <c r="M44" s="12"/>
      <c r="N44" s="12"/>
      <c r="O44" s="12"/>
    </row>
    <row r="45" customFormat="false" ht="23.85" hidden="false" customHeight="false" outlineLevel="0" collapsed="false">
      <c r="A45" s="9" t="n">
        <v>44</v>
      </c>
      <c r="B45" s="9" t="s">
        <v>170</v>
      </c>
      <c r="C45" s="9" t="s">
        <v>21</v>
      </c>
      <c r="D45" s="9" t="s">
        <v>171</v>
      </c>
      <c r="E45" s="9" t="s">
        <v>172</v>
      </c>
      <c r="F45" s="10" t="n">
        <v>66</v>
      </c>
      <c r="G45" s="11" t="str">
        <f aca="false">IF(F45&gt;='Read me'!$B$12,"A",IF(F45&gt;='Read me'!$B$13,"B","C"))</f>
        <v>B</v>
      </c>
      <c r="H45" s="9" t="s">
        <v>126</v>
      </c>
      <c r="I45" s="9" t="s">
        <v>127</v>
      </c>
      <c r="J45" s="9" t="s">
        <v>128</v>
      </c>
      <c r="K45" s="9" t="s">
        <v>173</v>
      </c>
      <c r="L45" s="12"/>
      <c r="M45" s="12"/>
      <c r="N45" s="12"/>
      <c r="O45" s="12"/>
    </row>
    <row r="46" customFormat="false" ht="23.85" hidden="false" customHeight="false" outlineLevel="0" collapsed="false">
      <c r="A46" s="9" t="n">
        <v>45</v>
      </c>
      <c r="B46" s="9" t="s">
        <v>174</v>
      </c>
      <c r="C46" s="9" t="s">
        <v>21</v>
      </c>
      <c r="D46" s="9" t="s">
        <v>154</v>
      </c>
      <c r="E46" s="9" t="s">
        <v>151</v>
      </c>
      <c r="F46" s="10" t="n">
        <v>66</v>
      </c>
      <c r="G46" s="11" t="str">
        <f aca="false">IF(F46&gt;='Read me'!$B$12,"A",IF(F46&gt;='Read me'!$B$13,"B","C"))</f>
        <v>B</v>
      </c>
      <c r="H46" s="9" t="s">
        <v>126</v>
      </c>
      <c r="I46" s="9" t="s">
        <v>127</v>
      </c>
      <c r="J46" s="9" t="s">
        <v>128</v>
      </c>
      <c r="K46" s="9"/>
      <c r="L46" s="12"/>
      <c r="M46" s="12"/>
      <c r="N46" s="12"/>
      <c r="O46" s="12"/>
    </row>
    <row r="47" customFormat="false" ht="23.85" hidden="false" customHeight="false" outlineLevel="0" collapsed="false">
      <c r="A47" s="9" t="n">
        <v>46</v>
      </c>
      <c r="B47" s="9" t="s">
        <v>175</v>
      </c>
      <c r="C47" s="9" t="s">
        <v>21</v>
      </c>
      <c r="D47" s="9" t="s">
        <v>124</v>
      </c>
      <c r="E47" s="9" t="s">
        <v>151</v>
      </c>
      <c r="F47" s="10" t="n">
        <v>66</v>
      </c>
      <c r="G47" s="11" t="str">
        <f aca="false">IF(F47&gt;='Read me'!$B$12,"A",IF(F47&gt;='Read me'!$B$13,"B","C"))</f>
        <v>B</v>
      </c>
      <c r="H47" s="9" t="s">
        <v>126</v>
      </c>
      <c r="I47" s="9" t="s">
        <v>127</v>
      </c>
      <c r="J47" s="9" t="s">
        <v>128</v>
      </c>
      <c r="K47" s="9"/>
      <c r="L47" s="12"/>
      <c r="M47" s="12"/>
      <c r="N47" s="12"/>
      <c r="O47" s="12"/>
    </row>
    <row r="48" customFormat="false" ht="23.85" hidden="false" customHeight="false" outlineLevel="0" collapsed="false">
      <c r="A48" s="9" t="n">
        <v>47</v>
      </c>
      <c r="B48" s="9" t="s">
        <v>176</v>
      </c>
      <c r="C48" s="9" t="s">
        <v>22</v>
      </c>
      <c r="D48" s="9" t="s">
        <v>99</v>
      </c>
      <c r="E48" s="9" t="s">
        <v>177</v>
      </c>
      <c r="F48" s="10" t="n">
        <v>66</v>
      </c>
      <c r="G48" s="11" t="str">
        <f aca="false">IF(F48&gt;='Read me'!$B$12,"A",IF(F48&gt;='Read me'!$B$13,"B","C"))</f>
        <v>B</v>
      </c>
      <c r="H48" s="9" t="s">
        <v>178</v>
      </c>
      <c r="I48" s="9" t="s">
        <v>179</v>
      </c>
      <c r="J48" s="9" t="s">
        <v>180</v>
      </c>
      <c r="K48" s="9"/>
      <c r="L48" s="12"/>
      <c r="M48" s="12"/>
      <c r="N48" s="12"/>
      <c r="O48" s="12"/>
    </row>
    <row r="49" customFormat="false" ht="23.85" hidden="false" customHeight="false" outlineLevel="0" collapsed="false">
      <c r="A49" s="9" t="n">
        <v>48</v>
      </c>
      <c r="B49" s="9" t="s">
        <v>181</v>
      </c>
      <c r="C49" s="9" t="s">
        <v>23</v>
      </c>
      <c r="D49" s="9" t="s">
        <v>182</v>
      </c>
      <c r="E49" s="9" t="s">
        <v>183</v>
      </c>
      <c r="F49" s="10" t="n">
        <v>66</v>
      </c>
      <c r="G49" s="11" t="str">
        <f aca="false">IF(F49&gt;='Read me'!$B$12,"A",IF(F49&gt;='Read me'!$B$13,"B","C"))</f>
        <v>B</v>
      </c>
      <c r="H49" s="9" t="s">
        <v>184</v>
      </c>
      <c r="I49" s="9" t="s">
        <v>185</v>
      </c>
      <c r="J49" s="9" t="s">
        <v>186</v>
      </c>
      <c r="K49" s="9" t="s">
        <v>187</v>
      </c>
      <c r="L49" s="12"/>
      <c r="M49" s="12"/>
      <c r="N49" s="12"/>
      <c r="O49" s="12"/>
    </row>
    <row r="50" customFormat="false" ht="35.05" hidden="false" customHeight="false" outlineLevel="0" collapsed="false">
      <c r="A50" s="9" t="n">
        <v>49</v>
      </c>
      <c r="B50" s="9" t="s">
        <v>188</v>
      </c>
      <c r="C50" s="9" t="s">
        <v>19</v>
      </c>
      <c r="D50" s="9" t="s">
        <v>189</v>
      </c>
      <c r="E50" s="9" t="s">
        <v>190</v>
      </c>
      <c r="F50" s="10" t="n">
        <v>64</v>
      </c>
      <c r="G50" s="11" t="str">
        <f aca="false">IF(F50&gt;='Read me'!$B$12,"A",IF(F50&gt;='Read me'!$B$13,"B","C"))</f>
        <v>B</v>
      </c>
      <c r="H50" s="9" t="s">
        <v>51</v>
      </c>
      <c r="I50" s="9" t="s">
        <v>52</v>
      </c>
      <c r="J50" s="9" t="s">
        <v>53</v>
      </c>
      <c r="K50" s="9" t="s">
        <v>191</v>
      </c>
      <c r="L50" s="12"/>
      <c r="M50" s="12"/>
      <c r="N50" s="12"/>
      <c r="O50" s="12"/>
    </row>
    <row r="51" customFormat="false" ht="35.05" hidden="false" customHeight="false" outlineLevel="0" collapsed="false">
      <c r="A51" s="9" t="n">
        <v>50</v>
      </c>
      <c r="B51" s="9" t="s">
        <v>192</v>
      </c>
      <c r="C51" s="9" t="s">
        <v>19</v>
      </c>
      <c r="D51" s="9" t="s">
        <v>154</v>
      </c>
      <c r="E51" s="9" t="s">
        <v>103</v>
      </c>
      <c r="F51" s="10" t="n">
        <v>64</v>
      </c>
      <c r="G51" s="11" t="str">
        <f aca="false">IF(F51&gt;='Read me'!$B$12,"A",IF(F51&gt;='Read me'!$B$13,"B","C"))</f>
        <v>B</v>
      </c>
      <c r="H51" s="9" t="s">
        <v>51</v>
      </c>
      <c r="I51" s="9" t="s">
        <v>52</v>
      </c>
      <c r="J51" s="9" t="s">
        <v>53</v>
      </c>
      <c r="K51" s="9"/>
      <c r="L51" s="12"/>
      <c r="M51" s="12"/>
      <c r="N51" s="12"/>
      <c r="O51" s="12"/>
    </row>
    <row r="52" customFormat="false" ht="35.05" hidden="false" customHeight="false" outlineLevel="0" collapsed="false">
      <c r="A52" s="9" t="n">
        <v>51</v>
      </c>
      <c r="B52" s="9" t="s">
        <v>193</v>
      </c>
      <c r="C52" s="9" t="s">
        <v>20</v>
      </c>
      <c r="D52" s="9" t="s">
        <v>49</v>
      </c>
      <c r="E52" s="9" t="s">
        <v>146</v>
      </c>
      <c r="F52" s="10" t="n">
        <v>64</v>
      </c>
      <c r="G52" s="11" t="str">
        <f aca="false">IF(F52&gt;='Read me'!$B$12,"A",IF(F52&gt;='Read me'!$B$13,"B","C"))</f>
        <v>B</v>
      </c>
      <c r="H52" s="9" t="s">
        <v>73</v>
      </c>
      <c r="I52" s="9" t="s">
        <v>74</v>
      </c>
      <c r="J52" s="9" t="s">
        <v>75</v>
      </c>
      <c r="K52" s="9" t="s">
        <v>194</v>
      </c>
      <c r="L52" s="12"/>
      <c r="M52" s="12"/>
      <c r="N52" s="12"/>
      <c r="O52" s="12"/>
    </row>
    <row r="53" customFormat="false" ht="35.05" hidden="false" customHeight="false" outlineLevel="0" collapsed="false">
      <c r="A53" s="9" t="n">
        <v>52</v>
      </c>
      <c r="B53" s="9" t="s">
        <v>195</v>
      </c>
      <c r="C53" s="9" t="s">
        <v>20</v>
      </c>
      <c r="D53" s="9" t="s">
        <v>49</v>
      </c>
      <c r="E53" s="9" t="s">
        <v>196</v>
      </c>
      <c r="F53" s="10" t="n">
        <v>64</v>
      </c>
      <c r="G53" s="11" t="str">
        <f aca="false">IF(F53&gt;='Read me'!$B$12,"A",IF(F53&gt;='Read me'!$B$13,"B","C"))</f>
        <v>B</v>
      </c>
      <c r="H53" s="9" t="s">
        <v>73</v>
      </c>
      <c r="I53" s="9" t="s">
        <v>74</v>
      </c>
      <c r="J53" s="9" t="s">
        <v>75</v>
      </c>
      <c r="K53" s="9" t="s">
        <v>197</v>
      </c>
      <c r="L53" s="12"/>
      <c r="M53" s="12"/>
      <c r="N53" s="12"/>
      <c r="O53" s="12"/>
    </row>
    <row r="54" customFormat="false" ht="35.05" hidden="false" customHeight="false" outlineLevel="0" collapsed="false">
      <c r="A54" s="9" t="n">
        <v>53</v>
      </c>
      <c r="B54" s="9" t="s">
        <v>198</v>
      </c>
      <c r="C54" s="9" t="s">
        <v>20</v>
      </c>
      <c r="D54" s="9" t="s">
        <v>78</v>
      </c>
      <c r="E54" s="9" t="s">
        <v>199</v>
      </c>
      <c r="F54" s="10" t="n">
        <v>64</v>
      </c>
      <c r="G54" s="11" t="str">
        <f aca="false">IF(F54&gt;='Read me'!$B$12,"A",IF(F54&gt;='Read me'!$B$13,"B","C"))</f>
        <v>B</v>
      </c>
      <c r="H54" s="9" t="s">
        <v>73</v>
      </c>
      <c r="I54" s="9" t="s">
        <v>74</v>
      </c>
      <c r="J54" s="9" t="s">
        <v>75</v>
      </c>
      <c r="K54" s="9" t="s">
        <v>200</v>
      </c>
      <c r="L54" s="12"/>
      <c r="M54" s="12"/>
      <c r="N54" s="12"/>
      <c r="O54" s="12"/>
    </row>
    <row r="55" customFormat="false" ht="23.85" hidden="false" customHeight="false" outlineLevel="0" collapsed="false">
      <c r="A55" s="9" t="n">
        <v>54</v>
      </c>
      <c r="B55" s="9" t="s">
        <v>201</v>
      </c>
      <c r="C55" s="9" t="s">
        <v>22</v>
      </c>
      <c r="D55" s="9" t="s">
        <v>99</v>
      </c>
      <c r="E55" s="9" t="s">
        <v>202</v>
      </c>
      <c r="F55" s="10" t="n">
        <v>64</v>
      </c>
      <c r="G55" s="11" t="str">
        <f aca="false">IF(F55&gt;='Read me'!$B$12,"A",IF(F55&gt;='Read me'!$B$13,"B","C"))</f>
        <v>B</v>
      </c>
      <c r="H55" s="9" t="s">
        <v>178</v>
      </c>
      <c r="I55" s="9" t="s">
        <v>179</v>
      </c>
      <c r="J55" s="9" t="s">
        <v>180</v>
      </c>
      <c r="K55" s="9" t="s">
        <v>203</v>
      </c>
      <c r="L55" s="12"/>
      <c r="M55" s="12"/>
      <c r="N55" s="12"/>
      <c r="O55" s="12"/>
    </row>
    <row r="56" customFormat="false" ht="23.85" hidden="false" customHeight="false" outlineLevel="0" collapsed="false">
      <c r="A56" s="9" t="n">
        <v>55</v>
      </c>
      <c r="B56" s="9" t="s">
        <v>204</v>
      </c>
      <c r="C56" s="9" t="s">
        <v>22</v>
      </c>
      <c r="D56" s="9" t="s">
        <v>99</v>
      </c>
      <c r="E56" s="9" t="s">
        <v>205</v>
      </c>
      <c r="F56" s="10" t="n">
        <v>64</v>
      </c>
      <c r="G56" s="11" t="str">
        <f aca="false">IF(F56&gt;='Read me'!$B$12,"A",IF(F56&gt;='Read me'!$B$13,"B","C"))</f>
        <v>B</v>
      </c>
      <c r="H56" s="9" t="s">
        <v>178</v>
      </c>
      <c r="I56" s="9" t="s">
        <v>179</v>
      </c>
      <c r="J56" s="9" t="s">
        <v>180</v>
      </c>
      <c r="K56" s="9" t="s">
        <v>206</v>
      </c>
      <c r="L56" s="12"/>
      <c r="M56" s="12"/>
      <c r="N56" s="12"/>
      <c r="O56" s="12"/>
    </row>
    <row r="57" customFormat="false" ht="23.85" hidden="false" customHeight="false" outlineLevel="0" collapsed="false">
      <c r="A57" s="9" t="n">
        <v>56</v>
      </c>
      <c r="B57" s="9" t="s">
        <v>207</v>
      </c>
      <c r="C57" s="9" t="s">
        <v>22</v>
      </c>
      <c r="D57" s="9" t="s">
        <v>208</v>
      </c>
      <c r="E57" s="9" t="s">
        <v>209</v>
      </c>
      <c r="F57" s="10" t="n">
        <v>64</v>
      </c>
      <c r="G57" s="11" t="str">
        <f aca="false">IF(F57&gt;='Read me'!$B$12,"A",IF(F57&gt;='Read me'!$B$13,"B","C"))</f>
        <v>B</v>
      </c>
      <c r="H57" s="9" t="s">
        <v>178</v>
      </c>
      <c r="I57" s="9" t="s">
        <v>179</v>
      </c>
      <c r="J57" s="9" t="s">
        <v>180</v>
      </c>
      <c r="K57" s="9" t="s">
        <v>210</v>
      </c>
      <c r="L57" s="12"/>
      <c r="M57" s="12"/>
      <c r="N57" s="12"/>
      <c r="O57" s="12"/>
    </row>
    <row r="58" customFormat="false" ht="35.05" hidden="false" customHeight="false" outlineLevel="0" collapsed="false">
      <c r="A58" s="9" t="n">
        <v>57</v>
      </c>
      <c r="B58" s="9" t="s">
        <v>211</v>
      </c>
      <c r="C58" s="9" t="s">
        <v>19</v>
      </c>
      <c r="D58" s="9" t="s">
        <v>99</v>
      </c>
      <c r="E58" s="9" t="s">
        <v>156</v>
      </c>
      <c r="F58" s="10" t="n">
        <v>62</v>
      </c>
      <c r="G58" s="11" t="str">
        <f aca="false">IF(F58&gt;='Read me'!$B$12,"A",IF(F58&gt;='Read me'!$B$13,"B","C"))</f>
        <v>B</v>
      </c>
      <c r="H58" s="9" t="s">
        <v>51</v>
      </c>
      <c r="I58" s="9" t="s">
        <v>52</v>
      </c>
      <c r="J58" s="9" t="s">
        <v>53</v>
      </c>
      <c r="K58" s="9" t="s">
        <v>212</v>
      </c>
      <c r="L58" s="12"/>
      <c r="M58" s="12"/>
      <c r="N58" s="12"/>
      <c r="O58" s="12"/>
    </row>
    <row r="59" customFormat="false" ht="35.05" hidden="false" customHeight="false" outlineLevel="0" collapsed="false">
      <c r="A59" s="9" t="n">
        <v>58</v>
      </c>
      <c r="B59" s="9" t="s">
        <v>213</v>
      </c>
      <c r="C59" s="9" t="s">
        <v>19</v>
      </c>
      <c r="D59" s="9" t="s">
        <v>99</v>
      </c>
      <c r="E59" s="9" t="s">
        <v>190</v>
      </c>
      <c r="F59" s="10" t="n">
        <v>62</v>
      </c>
      <c r="G59" s="11" t="str">
        <f aca="false">IF(F59&gt;='Read me'!$B$12,"A",IF(F59&gt;='Read me'!$B$13,"B","C"))</f>
        <v>B</v>
      </c>
      <c r="H59" s="9" t="s">
        <v>51</v>
      </c>
      <c r="I59" s="9" t="s">
        <v>52</v>
      </c>
      <c r="J59" s="9" t="s">
        <v>53</v>
      </c>
      <c r="K59" s="9" t="s">
        <v>214</v>
      </c>
      <c r="L59" s="12"/>
      <c r="M59" s="12"/>
      <c r="N59" s="12"/>
      <c r="O59" s="12"/>
    </row>
    <row r="60" customFormat="false" ht="35.05" hidden="false" customHeight="false" outlineLevel="0" collapsed="false">
      <c r="A60" s="9" t="n">
        <v>59</v>
      </c>
      <c r="B60" s="9" t="s">
        <v>215</v>
      </c>
      <c r="C60" s="9" t="s">
        <v>19</v>
      </c>
      <c r="D60" s="9" t="s">
        <v>118</v>
      </c>
      <c r="E60" s="9" t="s">
        <v>103</v>
      </c>
      <c r="F60" s="10" t="n">
        <v>62</v>
      </c>
      <c r="G60" s="11" t="str">
        <f aca="false">IF(F60&gt;='Read me'!$B$12,"A",IF(F60&gt;='Read me'!$B$13,"B","C"))</f>
        <v>B</v>
      </c>
      <c r="H60" s="9" t="s">
        <v>51</v>
      </c>
      <c r="I60" s="9" t="s">
        <v>52</v>
      </c>
      <c r="J60" s="9" t="s">
        <v>53</v>
      </c>
      <c r="K60" s="9" t="s">
        <v>216</v>
      </c>
      <c r="L60" s="12"/>
      <c r="M60" s="12"/>
      <c r="N60" s="12"/>
      <c r="O60" s="12"/>
    </row>
    <row r="61" customFormat="false" ht="35.05" hidden="false" customHeight="false" outlineLevel="0" collapsed="false">
      <c r="A61" s="9" t="n">
        <v>60</v>
      </c>
      <c r="B61" s="9" t="s">
        <v>217</v>
      </c>
      <c r="C61" s="9" t="s">
        <v>20</v>
      </c>
      <c r="D61" s="9" t="s">
        <v>49</v>
      </c>
      <c r="E61" s="9" t="s">
        <v>218</v>
      </c>
      <c r="F61" s="10" t="n">
        <v>62</v>
      </c>
      <c r="G61" s="11" t="str">
        <f aca="false">IF(F61&gt;='Read me'!$B$12,"A",IF(F61&gt;='Read me'!$B$13,"B","C"))</f>
        <v>B</v>
      </c>
      <c r="H61" s="9" t="s">
        <v>73</v>
      </c>
      <c r="I61" s="9" t="s">
        <v>74</v>
      </c>
      <c r="J61" s="9" t="s">
        <v>75</v>
      </c>
      <c r="K61" s="9"/>
      <c r="L61" s="12"/>
      <c r="M61" s="12"/>
      <c r="N61" s="12"/>
      <c r="O61" s="12"/>
    </row>
    <row r="62" customFormat="false" ht="35.05" hidden="false" customHeight="false" outlineLevel="0" collapsed="false">
      <c r="A62" s="9" t="n">
        <v>61</v>
      </c>
      <c r="B62" s="9" t="s">
        <v>219</v>
      </c>
      <c r="C62" s="9" t="s">
        <v>20</v>
      </c>
      <c r="D62" s="9" t="s">
        <v>49</v>
      </c>
      <c r="E62" s="9" t="s">
        <v>220</v>
      </c>
      <c r="F62" s="10" t="n">
        <v>62</v>
      </c>
      <c r="G62" s="11" t="str">
        <f aca="false">IF(F62&gt;='Read me'!$B$12,"A",IF(F62&gt;='Read me'!$B$13,"B","C"))</f>
        <v>B</v>
      </c>
      <c r="H62" s="9" t="s">
        <v>73</v>
      </c>
      <c r="I62" s="9" t="s">
        <v>74</v>
      </c>
      <c r="J62" s="9" t="s">
        <v>75</v>
      </c>
      <c r="K62" s="9"/>
      <c r="L62" s="12"/>
      <c r="M62" s="12"/>
      <c r="N62" s="12"/>
      <c r="O62" s="12"/>
    </row>
    <row r="63" customFormat="false" ht="35.05" hidden="false" customHeight="false" outlineLevel="0" collapsed="false">
      <c r="A63" s="9" t="n">
        <v>62</v>
      </c>
      <c r="B63" s="9" t="s">
        <v>221</v>
      </c>
      <c r="C63" s="9" t="s">
        <v>20</v>
      </c>
      <c r="D63" s="9" t="s">
        <v>49</v>
      </c>
      <c r="E63" s="9" t="s">
        <v>220</v>
      </c>
      <c r="F63" s="10" t="n">
        <v>62</v>
      </c>
      <c r="G63" s="11" t="str">
        <f aca="false">IF(F63&gt;='Read me'!$B$12,"A",IF(F63&gt;='Read me'!$B$13,"B","C"))</f>
        <v>B</v>
      </c>
      <c r="H63" s="9" t="s">
        <v>73</v>
      </c>
      <c r="I63" s="9" t="s">
        <v>74</v>
      </c>
      <c r="J63" s="9" t="s">
        <v>75</v>
      </c>
      <c r="K63" s="9"/>
      <c r="L63" s="12"/>
      <c r="M63" s="12"/>
      <c r="N63" s="12"/>
      <c r="O63" s="12"/>
    </row>
    <row r="64" customFormat="false" ht="35.05" hidden="false" customHeight="false" outlineLevel="0" collapsed="false">
      <c r="A64" s="9" t="n">
        <v>63</v>
      </c>
      <c r="B64" s="9" t="s">
        <v>222</v>
      </c>
      <c r="C64" s="9" t="s">
        <v>20</v>
      </c>
      <c r="D64" s="9" t="s">
        <v>49</v>
      </c>
      <c r="E64" s="9" t="s">
        <v>218</v>
      </c>
      <c r="F64" s="10" t="n">
        <v>62</v>
      </c>
      <c r="G64" s="11" t="str">
        <f aca="false">IF(F64&gt;='Read me'!$B$12,"A",IF(F64&gt;='Read me'!$B$13,"B","C"))</f>
        <v>B</v>
      </c>
      <c r="H64" s="9" t="s">
        <v>73</v>
      </c>
      <c r="I64" s="9" t="s">
        <v>74</v>
      </c>
      <c r="J64" s="9" t="s">
        <v>75</v>
      </c>
      <c r="K64" s="9"/>
      <c r="L64" s="12"/>
      <c r="M64" s="12"/>
      <c r="N64" s="12"/>
      <c r="O64" s="12"/>
    </row>
    <row r="65" customFormat="false" ht="23.85" hidden="false" customHeight="false" outlineLevel="0" collapsed="false">
      <c r="A65" s="9" t="n">
        <v>64</v>
      </c>
      <c r="B65" s="9" t="s">
        <v>223</v>
      </c>
      <c r="C65" s="9" t="s">
        <v>22</v>
      </c>
      <c r="D65" s="9" t="s">
        <v>99</v>
      </c>
      <c r="E65" s="9" t="s">
        <v>224</v>
      </c>
      <c r="F65" s="10" t="n">
        <v>62</v>
      </c>
      <c r="G65" s="11" t="str">
        <f aca="false">IF(F65&gt;='Read me'!$B$12,"A",IF(F65&gt;='Read me'!$B$13,"B","C"))</f>
        <v>B</v>
      </c>
      <c r="H65" s="9" t="s">
        <v>178</v>
      </c>
      <c r="I65" s="9" t="s">
        <v>179</v>
      </c>
      <c r="J65" s="9" t="s">
        <v>180</v>
      </c>
      <c r="K65" s="9" t="s">
        <v>225</v>
      </c>
      <c r="L65" s="12"/>
      <c r="M65" s="12"/>
      <c r="N65" s="12"/>
      <c r="O65" s="12"/>
    </row>
    <row r="66" customFormat="false" ht="23.85" hidden="false" customHeight="false" outlineLevel="0" collapsed="false">
      <c r="A66" s="9" t="n">
        <v>65</v>
      </c>
      <c r="B66" s="9" t="s">
        <v>226</v>
      </c>
      <c r="C66" s="9" t="s">
        <v>22</v>
      </c>
      <c r="D66" s="9" t="s">
        <v>227</v>
      </c>
      <c r="E66" s="9" t="s">
        <v>228</v>
      </c>
      <c r="F66" s="10" t="n">
        <v>62</v>
      </c>
      <c r="G66" s="11" t="str">
        <f aca="false">IF(F66&gt;='Read me'!$B$12,"A",IF(F66&gt;='Read me'!$B$13,"B","C"))</f>
        <v>B</v>
      </c>
      <c r="H66" s="9" t="s">
        <v>178</v>
      </c>
      <c r="I66" s="9" t="s">
        <v>179</v>
      </c>
      <c r="J66" s="9" t="s">
        <v>180</v>
      </c>
      <c r="K66" s="9"/>
      <c r="L66" s="12"/>
      <c r="M66" s="12"/>
      <c r="N66" s="12"/>
      <c r="O66" s="12"/>
    </row>
    <row r="67" customFormat="false" ht="35.05" hidden="false" customHeight="false" outlineLevel="0" collapsed="false">
      <c r="A67" s="9" t="n">
        <v>66</v>
      </c>
      <c r="B67" s="9" t="s">
        <v>229</v>
      </c>
      <c r="C67" s="9" t="s">
        <v>19</v>
      </c>
      <c r="D67" s="9" t="s">
        <v>230</v>
      </c>
      <c r="E67" s="9" t="s">
        <v>231</v>
      </c>
      <c r="F67" s="10" t="n">
        <v>60</v>
      </c>
      <c r="G67" s="11" t="str">
        <f aca="false">IF(F67&gt;='Read me'!$B$12,"A",IF(F67&gt;='Read me'!$B$13,"B","C"))</f>
        <v>B</v>
      </c>
      <c r="H67" s="9" t="s">
        <v>51</v>
      </c>
      <c r="I67" s="9" t="s">
        <v>52</v>
      </c>
      <c r="J67" s="9" t="s">
        <v>53</v>
      </c>
      <c r="K67" s="9" t="s">
        <v>232</v>
      </c>
      <c r="L67" s="12"/>
      <c r="M67" s="12"/>
      <c r="N67" s="12"/>
      <c r="O67" s="12"/>
    </row>
    <row r="68" customFormat="false" ht="35.05" hidden="false" customHeight="false" outlineLevel="0" collapsed="false">
      <c r="A68" s="9" t="n">
        <v>67</v>
      </c>
      <c r="B68" s="9" t="s">
        <v>233</v>
      </c>
      <c r="C68" s="9" t="s">
        <v>20</v>
      </c>
      <c r="D68" s="9" t="s">
        <v>49</v>
      </c>
      <c r="E68" s="9" t="s">
        <v>146</v>
      </c>
      <c r="F68" s="10" t="n">
        <v>60</v>
      </c>
      <c r="G68" s="11" t="str">
        <f aca="false">IF(F68&gt;='Read me'!$B$12,"A",IF(F68&gt;='Read me'!$B$13,"B","C"))</f>
        <v>B</v>
      </c>
      <c r="H68" s="9" t="s">
        <v>73</v>
      </c>
      <c r="I68" s="9" t="s">
        <v>74</v>
      </c>
      <c r="J68" s="9" t="s">
        <v>75</v>
      </c>
      <c r="K68" s="9"/>
      <c r="L68" s="12"/>
      <c r="M68" s="12"/>
      <c r="N68" s="12"/>
      <c r="O68" s="12"/>
    </row>
    <row r="69" customFormat="false" ht="35.05" hidden="false" customHeight="false" outlineLevel="0" collapsed="false">
      <c r="A69" s="9" t="n">
        <v>68</v>
      </c>
      <c r="B69" s="9" t="s">
        <v>234</v>
      </c>
      <c r="C69" s="9" t="s">
        <v>20</v>
      </c>
      <c r="D69" s="9" t="s">
        <v>235</v>
      </c>
      <c r="E69" s="9" t="s">
        <v>146</v>
      </c>
      <c r="F69" s="10" t="n">
        <v>60</v>
      </c>
      <c r="G69" s="11" t="str">
        <f aca="false">IF(F69&gt;='Read me'!$B$12,"A",IF(F69&gt;='Read me'!$B$13,"B","C"))</f>
        <v>B</v>
      </c>
      <c r="H69" s="9" t="s">
        <v>73</v>
      </c>
      <c r="I69" s="9" t="s">
        <v>74</v>
      </c>
      <c r="J69" s="9" t="s">
        <v>75</v>
      </c>
      <c r="K69" s="9" t="s">
        <v>236</v>
      </c>
      <c r="L69" s="12"/>
      <c r="M69" s="12"/>
      <c r="N69" s="12"/>
      <c r="O69" s="12"/>
    </row>
    <row r="70" customFormat="false" ht="23.85" hidden="false" customHeight="false" outlineLevel="0" collapsed="false">
      <c r="A70" s="9" t="n">
        <v>69</v>
      </c>
      <c r="B70" s="9" t="s">
        <v>237</v>
      </c>
      <c r="C70" s="9" t="s">
        <v>21</v>
      </c>
      <c r="D70" s="9" t="s">
        <v>124</v>
      </c>
      <c r="E70" s="9" t="s">
        <v>151</v>
      </c>
      <c r="F70" s="10" t="n">
        <v>60</v>
      </c>
      <c r="G70" s="11" t="str">
        <f aca="false">IF(F70&gt;='Read me'!$B$12,"A",IF(F70&gt;='Read me'!$B$13,"B","C"))</f>
        <v>B</v>
      </c>
      <c r="H70" s="9" t="s">
        <v>126</v>
      </c>
      <c r="I70" s="9" t="s">
        <v>127</v>
      </c>
      <c r="J70" s="9" t="s">
        <v>128</v>
      </c>
      <c r="K70" s="9"/>
      <c r="L70" s="12"/>
      <c r="M70" s="12"/>
      <c r="N70" s="12"/>
      <c r="O70" s="12"/>
    </row>
    <row r="71" customFormat="false" ht="23.85" hidden="false" customHeight="false" outlineLevel="0" collapsed="false">
      <c r="A71" s="9" t="n">
        <v>70</v>
      </c>
      <c r="B71" s="9" t="s">
        <v>238</v>
      </c>
      <c r="C71" s="9" t="s">
        <v>22</v>
      </c>
      <c r="D71" s="9" t="s">
        <v>99</v>
      </c>
      <c r="E71" s="9" t="s">
        <v>224</v>
      </c>
      <c r="F71" s="10" t="n">
        <v>60</v>
      </c>
      <c r="G71" s="11" t="str">
        <f aca="false">IF(F71&gt;='Read me'!$B$12,"A",IF(F71&gt;='Read me'!$B$13,"B","C"))</f>
        <v>B</v>
      </c>
      <c r="H71" s="9" t="s">
        <v>178</v>
      </c>
      <c r="I71" s="9" t="s">
        <v>179</v>
      </c>
      <c r="J71" s="9" t="s">
        <v>180</v>
      </c>
      <c r="K71" s="9"/>
      <c r="L71" s="12"/>
      <c r="M71" s="12"/>
      <c r="N71" s="12"/>
      <c r="O71" s="12"/>
    </row>
    <row r="72" customFormat="false" ht="23.85" hidden="false" customHeight="false" outlineLevel="0" collapsed="false">
      <c r="A72" s="9" t="n">
        <v>71</v>
      </c>
      <c r="B72" s="9" t="s">
        <v>239</v>
      </c>
      <c r="C72" s="9" t="s">
        <v>22</v>
      </c>
      <c r="D72" s="9" t="s">
        <v>99</v>
      </c>
      <c r="E72" s="9" t="s">
        <v>240</v>
      </c>
      <c r="F72" s="10" t="n">
        <v>60</v>
      </c>
      <c r="G72" s="11" t="str">
        <f aca="false">IF(F72&gt;='Read me'!$B$12,"A",IF(F72&gt;='Read me'!$B$13,"B","C"))</f>
        <v>B</v>
      </c>
      <c r="H72" s="9" t="s">
        <v>178</v>
      </c>
      <c r="I72" s="9" t="s">
        <v>179</v>
      </c>
      <c r="J72" s="9" t="s">
        <v>180</v>
      </c>
      <c r="K72" s="9"/>
      <c r="L72" s="12"/>
      <c r="M72" s="12"/>
      <c r="N72" s="12"/>
      <c r="O72" s="12"/>
    </row>
    <row r="73" customFormat="false" ht="23.85" hidden="false" customHeight="false" outlineLevel="0" collapsed="false">
      <c r="A73" s="9" t="n">
        <v>72</v>
      </c>
      <c r="B73" s="9" t="s">
        <v>241</v>
      </c>
      <c r="C73" s="9" t="s">
        <v>25</v>
      </c>
      <c r="D73" s="9" t="s">
        <v>49</v>
      </c>
      <c r="E73" s="9" t="s">
        <v>242</v>
      </c>
      <c r="F73" s="10" t="n">
        <v>60</v>
      </c>
      <c r="G73" s="11" t="str">
        <f aca="false">IF(F73&gt;='Read me'!$B$12,"A",IF(F73&gt;='Read me'!$B$13,"B","C"))</f>
        <v>B</v>
      </c>
      <c r="H73" s="9" t="s">
        <v>243</v>
      </c>
      <c r="I73" s="9" t="s">
        <v>244</v>
      </c>
      <c r="J73" s="9" t="s">
        <v>245</v>
      </c>
      <c r="K73" s="9" t="s">
        <v>246</v>
      </c>
      <c r="L73" s="12"/>
      <c r="M73" s="12"/>
      <c r="N73" s="12"/>
      <c r="O73" s="12"/>
    </row>
    <row r="74" customFormat="false" ht="35.05" hidden="false" customHeight="false" outlineLevel="0" collapsed="false">
      <c r="A74" s="9" t="n">
        <v>73</v>
      </c>
      <c r="B74" s="9" t="s">
        <v>247</v>
      </c>
      <c r="C74" s="9" t="s">
        <v>19</v>
      </c>
      <c r="D74" s="9" t="s">
        <v>248</v>
      </c>
      <c r="E74" s="9" t="s">
        <v>103</v>
      </c>
      <c r="F74" s="10" t="n">
        <v>58</v>
      </c>
      <c r="G74" s="11" t="str">
        <f aca="false">IF(F74&gt;='Read me'!$B$12,"A",IF(F74&gt;='Read me'!$B$13,"B","C"))</f>
        <v>C</v>
      </c>
      <c r="H74" s="9" t="s">
        <v>51</v>
      </c>
      <c r="I74" s="9" t="s">
        <v>52</v>
      </c>
      <c r="J74" s="9" t="s">
        <v>53</v>
      </c>
      <c r="K74" s="9"/>
      <c r="L74" s="12"/>
      <c r="M74" s="12"/>
      <c r="N74" s="12"/>
      <c r="O74" s="12"/>
    </row>
    <row r="75" customFormat="false" ht="35.05" hidden="false" customHeight="false" outlineLevel="0" collapsed="false">
      <c r="A75" s="9" t="n">
        <v>74</v>
      </c>
      <c r="B75" s="9" t="s">
        <v>249</v>
      </c>
      <c r="C75" s="9" t="s">
        <v>19</v>
      </c>
      <c r="D75" s="9" t="s">
        <v>182</v>
      </c>
      <c r="E75" s="9" t="s">
        <v>103</v>
      </c>
      <c r="F75" s="10" t="n">
        <v>58</v>
      </c>
      <c r="G75" s="11" t="str">
        <f aca="false">IF(F75&gt;='Read me'!$B$12,"A",IF(F75&gt;='Read me'!$B$13,"B","C"))</f>
        <v>C</v>
      </c>
      <c r="H75" s="9" t="s">
        <v>51</v>
      </c>
      <c r="I75" s="9" t="s">
        <v>52</v>
      </c>
      <c r="J75" s="9" t="s">
        <v>53</v>
      </c>
      <c r="K75" s="9"/>
      <c r="L75" s="12"/>
      <c r="M75" s="12"/>
      <c r="N75" s="12"/>
      <c r="O75" s="12"/>
    </row>
    <row r="76" customFormat="false" ht="35.05" hidden="false" customHeight="false" outlineLevel="0" collapsed="false">
      <c r="A76" s="9" t="n">
        <v>75</v>
      </c>
      <c r="B76" s="9" t="s">
        <v>250</v>
      </c>
      <c r="C76" s="9" t="s">
        <v>19</v>
      </c>
      <c r="D76" s="9" t="s">
        <v>251</v>
      </c>
      <c r="E76" s="9" t="s">
        <v>156</v>
      </c>
      <c r="F76" s="10" t="n">
        <v>58</v>
      </c>
      <c r="G76" s="11" t="str">
        <f aca="false">IF(F76&gt;='Read me'!$B$12,"A",IF(F76&gt;='Read me'!$B$13,"B","C"))</f>
        <v>C</v>
      </c>
      <c r="H76" s="9" t="s">
        <v>51</v>
      </c>
      <c r="I76" s="9" t="s">
        <v>52</v>
      </c>
      <c r="J76" s="9" t="s">
        <v>53</v>
      </c>
      <c r="K76" s="9" t="s">
        <v>252</v>
      </c>
      <c r="L76" s="12"/>
      <c r="M76" s="12"/>
      <c r="N76" s="12"/>
      <c r="O76" s="12"/>
    </row>
    <row r="77" customFormat="false" ht="35.05" hidden="false" customHeight="false" outlineLevel="0" collapsed="false">
      <c r="A77" s="9" t="n">
        <v>76</v>
      </c>
      <c r="B77" s="9" t="s">
        <v>253</v>
      </c>
      <c r="C77" s="9" t="s">
        <v>20</v>
      </c>
      <c r="D77" s="9" t="s">
        <v>49</v>
      </c>
      <c r="E77" s="9" t="s">
        <v>254</v>
      </c>
      <c r="F77" s="10" t="n">
        <v>58</v>
      </c>
      <c r="G77" s="11" t="str">
        <f aca="false">IF(F77&gt;='Read me'!$B$12,"A",IF(F77&gt;='Read me'!$B$13,"B","C"))</f>
        <v>C</v>
      </c>
      <c r="H77" s="9" t="s">
        <v>73</v>
      </c>
      <c r="I77" s="9" t="s">
        <v>74</v>
      </c>
      <c r="J77" s="9" t="s">
        <v>75</v>
      </c>
      <c r="K77" s="9"/>
      <c r="L77" s="12"/>
      <c r="M77" s="12"/>
      <c r="N77" s="12"/>
      <c r="O77" s="12"/>
    </row>
    <row r="78" customFormat="false" ht="23.85" hidden="false" customHeight="false" outlineLevel="0" collapsed="false">
      <c r="A78" s="9" t="n">
        <v>77</v>
      </c>
      <c r="B78" s="9" t="s">
        <v>255</v>
      </c>
      <c r="C78" s="9" t="s">
        <v>22</v>
      </c>
      <c r="D78" s="9" t="s">
        <v>99</v>
      </c>
      <c r="E78" s="9" t="s">
        <v>256</v>
      </c>
      <c r="F78" s="10" t="n">
        <v>58</v>
      </c>
      <c r="G78" s="11" t="str">
        <f aca="false">IF(F78&gt;='Read me'!$B$12,"A",IF(F78&gt;='Read me'!$B$13,"B","C"))</f>
        <v>C</v>
      </c>
      <c r="H78" s="9" t="s">
        <v>178</v>
      </c>
      <c r="I78" s="9" t="s">
        <v>179</v>
      </c>
      <c r="J78" s="9" t="s">
        <v>180</v>
      </c>
      <c r="K78" s="9"/>
      <c r="L78" s="12"/>
      <c r="M78" s="12"/>
      <c r="N78" s="12"/>
      <c r="O78" s="12"/>
    </row>
    <row r="79" customFormat="false" ht="23.85" hidden="false" customHeight="false" outlineLevel="0" collapsed="false">
      <c r="A79" s="9" t="n">
        <v>78</v>
      </c>
      <c r="B79" s="9" t="s">
        <v>257</v>
      </c>
      <c r="C79" s="9" t="s">
        <v>22</v>
      </c>
      <c r="D79" s="9" t="s">
        <v>99</v>
      </c>
      <c r="E79" s="9" t="s">
        <v>228</v>
      </c>
      <c r="F79" s="10" t="n">
        <v>58</v>
      </c>
      <c r="G79" s="11" t="str">
        <f aca="false">IF(F79&gt;='Read me'!$B$12,"A",IF(F79&gt;='Read me'!$B$13,"B","C"))</f>
        <v>C</v>
      </c>
      <c r="H79" s="9" t="s">
        <v>178</v>
      </c>
      <c r="I79" s="9" t="s">
        <v>179</v>
      </c>
      <c r="J79" s="9" t="s">
        <v>180</v>
      </c>
      <c r="K79" s="9" t="s">
        <v>258</v>
      </c>
      <c r="L79" s="12"/>
      <c r="M79" s="12"/>
      <c r="N79" s="12"/>
      <c r="O79" s="12"/>
    </row>
    <row r="80" customFormat="false" ht="35.05" hidden="false" customHeight="false" outlineLevel="0" collapsed="false">
      <c r="A80" s="9" t="n">
        <v>79</v>
      </c>
      <c r="B80" s="9" t="s">
        <v>259</v>
      </c>
      <c r="C80" s="9" t="s">
        <v>19</v>
      </c>
      <c r="D80" s="9" t="s">
        <v>260</v>
      </c>
      <c r="E80" s="9" t="s">
        <v>156</v>
      </c>
      <c r="F80" s="10" t="n">
        <v>56</v>
      </c>
      <c r="G80" s="11" t="str">
        <f aca="false">IF(F80&gt;='Read me'!$B$12,"A",IF(F80&gt;='Read me'!$B$13,"B","C"))</f>
        <v>C</v>
      </c>
      <c r="H80" s="9" t="s">
        <v>51</v>
      </c>
      <c r="I80" s="9" t="s">
        <v>52</v>
      </c>
      <c r="J80" s="9" t="s">
        <v>53</v>
      </c>
      <c r="K80" s="9" t="s">
        <v>261</v>
      </c>
      <c r="L80" s="12"/>
      <c r="M80" s="12"/>
      <c r="N80" s="12"/>
      <c r="O80" s="12"/>
    </row>
    <row r="81" customFormat="false" ht="35.05" hidden="false" customHeight="false" outlineLevel="0" collapsed="false">
      <c r="A81" s="9" t="n">
        <v>80</v>
      </c>
      <c r="B81" s="9" t="s">
        <v>262</v>
      </c>
      <c r="C81" s="9" t="s">
        <v>20</v>
      </c>
      <c r="D81" s="9" t="s">
        <v>263</v>
      </c>
      <c r="E81" s="9" t="s">
        <v>264</v>
      </c>
      <c r="F81" s="10" t="n">
        <v>56</v>
      </c>
      <c r="G81" s="11" t="str">
        <f aca="false">IF(F81&gt;='Read me'!$B$12,"A",IF(F81&gt;='Read me'!$B$13,"B","C"))</f>
        <v>C</v>
      </c>
      <c r="H81" s="9" t="s">
        <v>73</v>
      </c>
      <c r="I81" s="9" t="s">
        <v>74</v>
      </c>
      <c r="J81" s="9" t="s">
        <v>75</v>
      </c>
      <c r="K81" s="9" t="s">
        <v>265</v>
      </c>
      <c r="L81" s="12"/>
      <c r="M81" s="12"/>
      <c r="N81" s="12"/>
      <c r="O81" s="12"/>
    </row>
    <row r="82" customFormat="false" ht="23.85" hidden="false" customHeight="false" outlineLevel="0" collapsed="false">
      <c r="A82" s="9" t="n">
        <v>81</v>
      </c>
      <c r="B82" s="9" t="s">
        <v>266</v>
      </c>
      <c r="C82" s="9" t="s">
        <v>21</v>
      </c>
      <c r="D82" s="9" t="s">
        <v>267</v>
      </c>
      <c r="E82" s="9" t="s">
        <v>268</v>
      </c>
      <c r="F82" s="10" t="n">
        <v>56</v>
      </c>
      <c r="G82" s="11" t="str">
        <f aca="false">IF(F82&gt;='Read me'!$B$12,"A",IF(F82&gt;='Read me'!$B$13,"B","C"))</f>
        <v>C</v>
      </c>
      <c r="H82" s="9" t="s">
        <v>126</v>
      </c>
      <c r="I82" s="9" t="s">
        <v>127</v>
      </c>
      <c r="J82" s="9" t="s">
        <v>128</v>
      </c>
      <c r="K82" s="9"/>
      <c r="L82" s="12"/>
      <c r="M82" s="12"/>
      <c r="N82" s="12"/>
      <c r="O82" s="12"/>
    </row>
    <row r="83" customFormat="false" ht="23.85" hidden="false" customHeight="false" outlineLevel="0" collapsed="false">
      <c r="A83" s="9" t="n">
        <v>82</v>
      </c>
      <c r="B83" s="9" t="s">
        <v>269</v>
      </c>
      <c r="C83" s="9" t="s">
        <v>22</v>
      </c>
      <c r="D83" s="9" t="s">
        <v>99</v>
      </c>
      <c r="E83" s="9" t="s">
        <v>228</v>
      </c>
      <c r="F83" s="10" t="n">
        <v>56</v>
      </c>
      <c r="G83" s="11" t="str">
        <f aca="false">IF(F83&gt;='Read me'!$B$12,"A",IF(F83&gt;='Read me'!$B$13,"B","C"))</f>
        <v>C</v>
      </c>
      <c r="H83" s="9" t="s">
        <v>178</v>
      </c>
      <c r="I83" s="9" t="s">
        <v>179</v>
      </c>
      <c r="J83" s="9" t="s">
        <v>180</v>
      </c>
      <c r="K83" s="9"/>
      <c r="L83" s="12"/>
      <c r="M83" s="12"/>
      <c r="N83" s="12"/>
      <c r="O83" s="12"/>
    </row>
    <row r="84" customFormat="false" ht="23.85" hidden="false" customHeight="false" outlineLevel="0" collapsed="false">
      <c r="A84" s="9" t="n">
        <v>83</v>
      </c>
      <c r="B84" s="9" t="s">
        <v>270</v>
      </c>
      <c r="C84" s="9" t="s">
        <v>22</v>
      </c>
      <c r="D84" s="9" t="s">
        <v>99</v>
      </c>
      <c r="E84" s="9" t="s">
        <v>271</v>
      </c>
      <c r="F84" s="10" t="n">
        <v>56</v>
      </c>
      <c r="G84" s="11" t="str">
        <f aca="false">IF(F84&gt;='Read me'!$B$12,"A",IF(F84&gt;='Read me'!$B$13,"B","C"))</f>
        <v>C</v>
      </c>
      <c r="H84" s="9" t="s">
        <v>178</v>
      </c>
      <c r="I84" s="9" t="s">
        <v>179</v>
      </c>
      <c r="J84" s="9" t="s">
        <v>180</v>
      </c>
      <c r="K84" s="9"/>
      <c r="L84" s="12"/>
      <c r="M84" s="12"/>
      <c r="N84" s="12"/>
      <c r="O84" s="12"/>
    </row>
    <row r="85" customFormat="false" ht="23.85" hidden="false" customHeight="false" outlineLevel="0" collapsed="false">
      <c r="A85" s="9" t="n">
        <v>84</v>
      </c>
      <c r="B85" s="9" t="s">
        <v>272</v>
      </c>
      <c r="C85" s="9" t="s">
        <v>25</v>
      </c>
      <c r="D85" s="9" t="s">
        <v>49</v>
      </c>
      <c r="E85" s="9" t="s">
        <v>273</v>
      </c>
      <c r="F85" s="10" t="n">
        <v>55</v>
      </c>
      <c r="G85" s="11" t="str">
        <f aca="false">IF(F85&gt;='Read me'!$B$12,"A",IF(F85&gt;='Read me'!$B$13,"B","C"))</f>
        <v>C</v>
      </c>
      <c r="H85" s="9" t="s">
        <v>243</v>
      </c>
      <c r="I85" s="9" t="s">
        <v>244</v>
      </c>
      <c r="J85" s="9" t="s">
        <v>245</v>
      </c>
      <c r="K85" s="9" t="s">
        <v>274</v>
      </c>
      <c r="L85" s="12"/>
      <c r="M85" s="12"/>
      <c r="N85" s="12"/>
      <c r="O85" s="12"/>
    </row>
    <row r="86" customFormat="false" ht="35.05" hidden="false" customHeight="false" outlineLevel="0" collapsed="false">
      <c r="A86" s="9" t="n">
        <v>85</v>
      </c>
      <c r="B86" s="9" t="s">
        <v>275</v>
      </c>
      <c r="C86" s="9" t="s">
        <v>20</v>
      </c>
      <c r="D86" s="9" t="s">
        <v>49</v>
      </c>
      <c r="E86" s="9" t="s">
        <v>276</v>
      </c>
      <c r="F86" s="10" t="n">
        <v>54</v>
      </c>
      <c r="G86" s="11" t="str">
        <f aca="false">IF(F86&gt;='Read me'!$B$12,"A",IF(F86&gt;='Read me'!$B$13,"B","C"))</f>
        <v>C</v>
      </c>
      <c r="H86" s="9" t="s">
        <v>73</v>
      </c>
      <c r="I86" s="9" t="s">
        <v>74</v>
      </c>
      <c r="J86" s="9" t="s">
        <v>75</v>
      </c>
      <c r="K86" s="9" t="s">
        <v>277</v>
      </c>
      <c r="L86" s="12"/>
      <c r="M86" s="12"/>
      <c r="N86" s="12"/>
      <c r="O86" s="12"/>
    </row>
    <row r="87" customFormat="false" ht="23.85" hidden="false" customHeight="false" outlineLevel="0" collapsed="false">
      <c r="A87" s="9" t="n">
        <v>86</v>
      </c>
      <c r="B87" s="9" t="s">
        <v>278</v>
      </c>
      <c r="C87" s="9" t="s">
        <v>21</v>
      </c>
      <c r="D87" s="9" t="s">
        <v>124</v>
      </c>
      <c r="E87" s="9" t="s">
        <v>279</v>
      </c>
      <c r="F87" s="10" t="n">
        <v>54</v>
      </c>
      <c r="G87" s="11" t="str">
        <f aca="false">IF(F87&gt;='Read me'!$B$12,"A",IF(F87&gt;='Read me'!$B$13,"B","C"))</f>
        <v>C</v>
      </c>
      <c r="H87" s="9" t="s">
        <v>126</v>
      </c>
      <c r="I87" s="9" t="s">
        <v>127</v>
      </c>
      <c r="J87" s="9" t="s">
        <v>128</v>
      </c>
      <c r="K87" s="9"/>
      <c r="L87" s="12"/>
      <c r="M87" s="12"/>
      <c r="N87" s="12"/>
      <c r="O87" s="12"/>
    </row>
    <row r="88" customFormat="false" ht="23.85" hidden="false" customHeight="false" outlineLevel="0" collapsed="false">
      <c r="A88" s="9" t="n">
        <v>87</v>
      </c>
      <c r="B88" s="9" t="s">
        <v>280</v>
      </c>
      <c r="C88" s="9" t="s">
        <v>22</v>
      </c>
      <c r="D88" s="9" t="s">
        <v>281</v>
      </c>
      <c r="E88" s="9" t="s">
        <v>282</v>
      </c>
      <c r="F88" s="10" t="n">
        <v>54</v>
      </c>
      <c r="G88" s="11" t="str">
        <f aca="false">IF(F88&gt;='Read me'!$B$12,"A",IF(F88&gt;='Read me'!$B$13,"B","C"))</f>
        <v>C</v>
      </c>
      <c r="H88" s="9" t="s">
        <v>178</v>
      </c>
      <c r="I88" s="9" t="s">
        <v>179</v>
      </c>
      <c r="J88" s="9" t="s">
        <v>180</v>
      </c>
      <c r="K88" s="9" t="s">
        <v>283</v>
      </c>
      <c r="L88" s="12"/>
      <c r="M88" s="12"/>
      <c r="N88" s="12"/>
      <c r="O88" s="12"/>
    </row>
    <row r="89" customFormat="false" ht="23.85" hidden="false" customHeight="false" outlineLevel="0" collapsed="false">
      <c r="A89" s="9" t="n">
        <v>88</v>
      </c>
      <c r="B89" s="9" t="s">
        <v>284</v>
      </c>
      <c r="C89" s="9" t="s">
        <v>22</v>
      </c>
      <c r="D89" s="9" t="s">
        <v>285</v>
      </c>
      <c r="E89" s="9" t="s">
        <v>228</v>
      </c>
      <c r="F89" s="10" t="n">
        <v>54</v>
      </c>
      <c r="G89" s="11" t="str">
        <f aca="false">IF(F89&gt;='Read me'!$B$12,"A",IF(F89&gt;='Read me'!$B$13,"B","C"))</f>
        <v>C</v>
      </c>
      <c r="H89" s="9" t="s">
        <v>178</v>
      </c>
      <c r="I89" s="9" t="s">
        <v>179</v>
      </c>
      <c r="J89" s="9" t="s">
        <v>180</v>
      </c>
      <c r="K89" s="9"/>
      <c r="L89" s="12"/>
      <c r="M89" s="12"/>
      <c r="N89" s="12"/>
      <c r="O89" s="12"/>
    </row>
    <row r="90" customFormat="false" ht="23.85" hidden="false" customHeight="false" outlineLevel="0" collapsed="false">
      <c r="A90" s="9" t="n">
        <v>89</v>
      </c>
      <c r="B90" s="9" t="s">
        <v>286</v>
      </c>
      <c r="C90" s="9" t="s">
        <v>22</v>
      </c>
      <c r="D90" s="9" t="s">
        <v>99</v>
      </c>
      <c r="E90" s="9" t="s">
        <v>228</v>
      </c>
      <c r="F90" s="10" t="n">
        <v>54</v>
      </c>
      <c r="G90" s="11" t="str">
        <f aca="false">IF(F90&gt;='Read me'!$B$12,"A",IF(F90&gt;='Read me'!$B$13,"B","C"))</f>
        <v>C</v>
      </c>
      <c r="H90" s="9" t="s">
        <v>178</v>
      </c>
      <c r="I90" s="9" t="s">
        <v>179</v>
      </c>
      <c r="J90" s="9" t="s">
        <v>180</v>
      </c>
      <c r="K90" s="9"/>
      <c r="L90" s="12"/>
      <c r="M90" s="12"/>
      <c r="N90" s="12"/>
      <c r="O90" s="12"/>
    </row>
    <row r="91" customFormat="false" ht="23.85" hidden="false" customHeight="false" outlineLevel="0" collapsed="false">
      <c r="A91" s="9" t="n">
        <v>90</v>
      </c>
      <c r="B91" s="9" t="s">
        <v>287</v>
      </c>
      <c r="C91" s="9" t="s">
        <v>22</v>
      </c>
      <c r="D91" s="9" t="s">
        <v>99</v>
      </c>
      <c r="E91" s="9" t="s">
        <v>228</v>
      </c>
      <c r="F91" s="10" t="n">
        <v>54</v>
      </c>
      <c r="G91" s="11" t="str">
        <f aca="false">IF(F91&gt;='Read me'!$B$12,"A",IF(F91&gt;='Read me'!$B$13,"B","C"))</f>
        <v>C</v>
      </c>
      <c r="H91" s="9" t="s">
        <v>178</v>
      </c>
      <c r="I91" s="9" t="s">
        <v>179</v>
      </c>
      <c r="J91" s="9" t="s">
        <v>180</v>
      </c>
      <c r="K91" s="9"/>
      <c r="L91" s="12"/>
      <c r="M91" s="12"/>
      <c r="N91" s="12"/>
      <c r="O91" s="12"/>
    </row>
    <row r="92" customFormat="false" ht="35.05" hidden="false" customHeight="false" outlineLevel="0" collapsed="false">
      <c r="A92" s="9" t="n">
        <v>91</v>
      </c>
      <c r="B92" s="9" t="s">
        <v>288</v>
      </c>
      <c r="C92" s="9" t="s">
        <v>20</v>
      </c>
      <c r="D92" s="9" t="s">
        <v>49</v>
      </c>
      <c r="E92" s="9" t="s">
        <v>289</v>
      </c>
      <c r="F92" s="10" t="n">
        <v>52</v>
      </c>
      <c r="G92" s="11" t="str">
        <f aca="false">IF(F92&gt;='Read me'!$B$12,"A",IF(F92&gt;='Read me'!$B$13,"B","C"))</f>
        <v>C</v>
      </c>
      <c r="H92" s="9" t="s">
        <v>73</v>
      </c>
      <c r="I92" s="9" t="s">
        <v>74</v>
      </c>
      <c r="J92" s="9" t="s">
        <v>75</v>
      </c>
      <c r="K92" s="9" t="s">
        <v>290</v>
      </c>
      <c r="L92" s="12"/>
      <c r="M92" s="12"/>
      <c r="N92" s="12"/>
      <c r="O92" s="12"/>
    </row>
    <row r="93" customFormat="false" ht="23.85" hidden="false" customHeight="false" outlineLevel="0" collapsed="false">
      <c r="A93" s="9" t="n">
        <v>92</v>
      </c>
      <c r="B93" s="9" t="s">
        <v>291</v>
      </c>
      <c r="C93" s="9" t="s">
        <v>21</v>
      </c>
      <c r="D93" s="9" t="s">
        <v>124</v>
      </c>
      <c r="E93" s="9" t="s">
        <v>292</v>
      </c>
      <c r="F93" s="10" t="n">
        <v>52</v>
      </c>
      <c r="G93" s="11" t="str">
        <f aca="false">IF(F93&gt;='Read me'!$B$12,"A",IF(F93&gt;='Read me'!$B$13,"B","C"))</f>
        <v>C</v>
      </c>
      <c r="H93" s="9" t="s">
        <v>126</v>
      </c>
      <c r="I93" s="9" t="s">
        <v>127</v>
      </c>
      <c r="J93" s="9" t="s">
        <v>128</v>
      </c>
      <c r="K93" s="9" t="s">
        <v>293</v>
      </c>
      <c r="L93" s="12"/>
      <c r="M93" s="12"/>
      <c r="N93" s="12"/>
      <c r="O93" s="12"/>
    </row>
    <row r="94" customFormat="false" ht="23.85" hidden="false" customHeight="false" outlineLevel="0" collapsed="false">
      <c r="A94" s="9" t="n">
        <v>93</v>
      </c>
      <c r="B94" s="9" t="s">
        <v>294</v>
      </c>
      <c r="C94" s="9" t="s">
        <v>22</v>
      </c>
      <c r="D94" s="9" t="s">
        <v>99</v>
      </c>
      <c r="E94" s="9" t="s">
        <v>282</v>
      </c>
      <c r="F94" s="10" t="n">
        <v>52</v>
      </c>
      <c r="G94" s="11" t="str">
        <f aca="false">IF(F94&gt;='Read me'!$B$12,"A",IF(F94&gt;='Read me'!$B$13,"B","C"))</f>
        <v>C</v>
      </c>
      <c r="H94" s="9" t="s">
        <v>178</v>
      </c>
      <c r="I94" s="9" t="s">
        <v>179</v>
      </c>
      <c r="J94" s="9" t="s">
        <v>180</v>
      </c>
      <c r="K94" s="9"/>
      <c r="L94" s="12"/>
      <c r="M94" s="12"/>
      <c r="N94" s="12"/>
      <c r="O94" s="12"/>
    </row>
    <row r="95" customFormat="false" ht="23.85" hidden="false" customHeight="false" outlineLevel="0" collapsed="false">
      <c r="A95" s="9" t="n">
        <v>94</v>
      </c>
      <c r="B95" s="9" t="s">
        <v>295</v>
      </c>
      <c r="C95" s="9" t="s">
        <v>22</v>
      </c>
      <c r="D95" s="9" t="s">
        <v>99</v>
      </c>
      <c r="E95" s="9" t="s">
        <v>296</v>
      </c>
      <c r="F95" s="10" t="n">
        <v>52</v>
      </c>
      <c r="G95" s="11" t="str">
        <f aca="false">IF(F95&gt;='Read me'!$B$12,"A",IF(F95&gt;='Read me'!$B$13,"B","C"))</f>
        <v>C</v>
      </c>
      <c r="H95" s="9" t="s">
        <v>178</v>
      </c>
      <c r="I95" s="9" t="s">
        <v>179</v>
      </c>
      <c r="J95" s="9" t="s">
        <v>180</v>
      </c>
      <c r="K95" s="9"/>
      <c r="L95" s="12"/>
      <c r="M95" s="12"/>
      <c r="N95" s="12"/>
      <c r="O95" s="12"/>
    </row>
    <row r="96" customFormat="false" ht="23.85" hidden="false" customHeight="false" outlineLevel="0" collapsed="false">
      <c r="A96" s="9" t="n">
        <v>95</v>
      </c>
      <c r="B96" s="9" t="s">
        <v>297</v>
      </c>
      <c r="C96" s="9" t="s">
        <v>22</v>
      </c>
      <c r="D96" s="9" t="s">
        <v>99</v>
      </c>
      <c r="E96" s="9" t="s">
        <v>298</v>
      </c>
      <c r="F96" s="10" t="n">
        <v>52</v>
      </c>
      <c r="G96" s="11" t="str">
        <f aca="false">IF(F96&gt;='Read me'!$B$12,"A",IF(F96&gt;='Read me'!$B$13,"B","C"))</f>
        <v>C</v>
      </c>
      <c r="H96" s="9" t="s">
        <v>178</v>
      </c>
      <c r="I96" s="9" t="s">
        <v>179</v>
      </c>
      <c r="J96" s="9" t="s">
        <v>180</v>
      </c>
      <c r="K96" s="9"/>
      <c r="L96" s="12"/>
      <c r="M96" s="12"/>
      <c r="N96" s="12"/>
      <c r="O96" s="12"/>
    </row>
    <row r="97" customFormat="false" ht="23.85" hidden="false" customHeight="false" outlineLevel="0" collapsed="false">
      <c r="A97" s="9" t="n">
        <v>96</v>
      </c>
      <c r="B97" s="9" t="s">
        <v>299</v>
      </c>
      <c r="C97" s="9" t="s">
        <v>22</v>
      </c>
      <c r="D97" s="9" t="s">
        <v>300</v>
      </c>
      <c r="E97" s="9" t="s">
        <v>301</v>
      </c>
      <c r="F97" s="10" t="n">
        <v>52</v>
      </c>
      <c r="G97" s="11" t="str">
        <f aca="false">IF(F97&gt;='Read me'!$B$12,"A",IF(F97&gt;='Read me'!$B$13,"B","C"))</f>
        <v>C</v>
      </c>
      <c r="H97" s="9" t="s">
        <v>178</v>
      </c>
      <c r="I97" s="9" t="s">
        <v>179</v>
      </c>
      <c r="J97" s="9" t="s">
        <v>180</v>
      </c>
      <c r="K97" s="9"/>
      <c r="L97" s="12"/>
      <c r="M97" s="12"/>
      <c r="N97" s="12"/>
      <c r="O97" s="12"/>
    </row>
    <row r="98" customFormat="false" ht="35.05" hidden="false" customHeight="false" outlineLevel="0" collapsed="false">
      <c r="A98" s="9" t="n">
        <v>97</v>
      </c>
      <c r="B98" s="9" t="s">
        <v>302</v>
      </c>
      <c r="C98" s="9" t="s">
        <v>20</v>
      </c>
      <c r="D98" s="9" t="s">
        <v>49</v>
      </c>
      <c r="E98" s="9" t="s">
        <v>303</v>
      </c>
      <c r="F98" s="10" t="n">
        <v>50</v>
      </c>
      <c r="G98" s="11" t="str">
        <f aca="false">IF(F98&gt;='Read me'!$B$12,"A",IF(F98&gt;='Read me'!$B$13,"B","C"))</f>
        <v>C</v>
      </c>
      <c r="H98" s="9" t="s">
        <v>73</v>
      </c>
      <c r="I98" s="9" t="s">
        <v>74</v>
      </c>
      <c r="J98" s="9" t="s">
        <v>75</v>
      </c>
      <c r="K98" s="9" t="s">
        <v>304</v>
      </c>
      <c r="L98" s="12"/>
      <c r="M98" s="12"/>
      <c r="N98" s="12"/>
      <c r="O98" s="12"/>
    </row>
    <row r="99" customFormat="false" ht="35.05" hidden="false" customHeight="false" outlineLevel="0" collapsed="false">
      <c r="A99" s="9" t="n">
        <v>98</v>
      </c>
      <c r="B99" s="9" t="s">
        <v>305</v>
      </c>
      <c r="C99" s="9" t="s">
        <v>20</v>
      </c>
      <c r="D99" s="9" t="s">
        <v>49</v>
      </c>
      <c r="E99" s="9" t="s">
        <v>306</v>
      </c>
      <c r="F99" s="10" t="n">
        <v>50</v>
      </c>
      <c r="G99" s="11" t="str">
        <f aca="false">IF(F99&gt;='Read me'!$B$12,"A",IF(F99&gt;='Read me'!$B$13,"B","C"))</f>
        <v>C</v>
      </c>
      <c r="H99" s="9" t="s">
        <v>73</v>
      </c>
      <c r="I99" s="9" t="s">
        <v>74</v>
      </c>
      <c r="J99" s="9" t="s">
        <v>75</v>
      </c>
      <c r="K99" s="9"/>
      <c r="L99" s="12"/>
      <c r="M99" s="12"/>
      <c r="N99" s="12"/>
      <c r="O99" s="12"/>
    </row>
    <row r="100" customFormat="false" ht="23.85" hidden="false" customHeight="false" outlineLevel="0" collapsed="false">
      <c r="A100" s="9" t="n">
        <v>99</v>
      </c>
      <c r="B100" s="9" t="s">
        <v>307</v>
      </c>
      <c r="C100" s="9" t="s">
        <v>21</v>
      </c>
      <c r="D100" s="9" t="s">
        <v>124</v>
      </c>
      <c r="E100" s="9" t="s">
        <v>308</v>
      </c>
      <c r="F100" s="10" t="n">
        <v>50</v>
      </c>
      <c r="G100" s="11" t="str">
        <f aca="false">IF(F100&gt;='Read me'!$B$12,"A",IF(F100&gt;='Read me'!$B$13,"B","C"))</f>
        <v>C</v>
      </c>
      <c r="H100" s="9" t="s">
        <v>126</v>
      </c>
      <c r="I100" s="9" t="s">
        <v>127</v>
      </c>
      <c r="J100" s="9" t="s">
        <v>128</v>
      </c>
      <c r="K100" s="9"/>
      <c r="L100" s="12"/>
      <c r="M100" s="12"/>
      <c r="N100" s="12"/>
      <c r="O100" s="12"/>
    </row>
    <row r="101" customFormat="false" ht="23.85" hidden="false" customHeight="false" outlineLevel="0" collapsed="false">
      <c r="A101" s="9" t="n">
        <v>100</v>
      </c>
      <c r="B101" s="9" t="s">
        <v>309</v>
      </c>
      <c r="C101" s="9" t="s">
        <v>22</v>
      </c>
      <c r="D101" s="9" t="s">
        <v>99</v>
      </c>
      <c r="E101" s="9" t="s">
        <v>296</v>
      </c>
      <c r="F101" s="10" t="n">
        <v>50</v>
      </c>
      <c r="G101" s="11" t="str">
        <f aca="false">IF(F101&gt;='Read me'!$B$12,"A",IF(F101&gt;='Read me'!$B$13,"B","C"))</f>
        <v>C</v>
      </c>
      <c r="H101" s="9" t="s">
        <v>178</v>
      </c>
      <c r="I101" s="9" t="s">
        <v>179</v>
      </c>
      <c r="J101" s="9" t="s">
        <v>180</v>
      </c>
      <c r="K101" s="9"/>
      <c r="L101" s="12"/>
      <c r="M101" s="12"/>
      <c r="N101" s="12"/>
      <c r="O101" s="12"/>
    </row>
    <row r="102" customFormat="false" ht="23.85" hidden="false" customHeight="false" outlineLevel="0" collapsed="false">
      <c r="A102" s="9" t="n">
        <v>101</v>
      </c>
      <c r="B102" s="9" t="s">
        <v>310</v>
      </c>
      <c r="C102" s="9" t="s">
        <v>24</v>
      </c>
      <c r="D102" s="9" t="s">
        <v>49</v>
      </c>
      <c r="E102" s="9" t="s">
        <v>311</v>
      </c>
      <c r="F102" s="10" t="n">
        <v>50</v>
      </c>
      <c r="G102" s="11" t="str">
        <f aca="false">IF(F102&gt;='Read me'!$B$12,"A",IF(F102&gt;='Read me'!$B$13,"B","C"))</f>
        <v>C</v>
      </c>
      <c r="H102" s="9" t="s">
        <v>312</v>
      </c>
      <c r="I102" s="9" t="s">
        <v>313</v>
      </c>
      <c r="J102" s="9" t="s">
        <v>314</v>
      </c>
      <c r="K102" s="9" t="s">
        <v>315</v>
      </c>
      <c r="L102" s="12"/>
      <c r="M102" s="12"/>
      <c r="N102" s="12"/>
      <c r="O102" s="12"/>
    </row>
    <row r="103" customFormat="false" ht="35.05" hidden="false" customHeight="false" outlineLevel="0" collapsed="false">
      <c r="A103" s="9" t="n">
        <v>102</v>
      </c>
      <c r="B103" s="9" t="s">
        <v>316</v>
      </c>
      <c r="C103" s="9" t="s">
        <v>20</v>
      </c>
      <c r="D103" s="9" t="s">
        <v>49</v>
      </c>
      <c r="E103" s="9" t="s">
        <v>317</v>
      </c>
      <c r="F103" s="10" t="n">
        <v>48</v>
      </c>
      <c r="G103" s="11" t="str">
        <f aca="false">IF(F103&gt;='Read me'!$B$12,"A",IF(F103&gt;='Read me'!$B$13,"B","C"))</f>
        <v>C</v>
      </c>
      <c r="H103" s="9" t="s">
        <v>73</v>
      </c>
      <c r="I103" s="9" t="s">
        <v>74</v>
      </c>
      <c r="J103" s="9" t="s">
        <v>75</v>
      </c>
      <c r="K103" s="9"/>
      <c r="L103" s="12"/>
      <c r="M103" s="12"/>
      <c r="N103" s="12"/>
      <c r="O103" s="12"/>
    </row>
    <row r="104" customFormat="false" ht="23.85" hidden="false" customHeight="false" outlineLevel="0" collapsed="false">
      <c r="A104" s="9" t="n">
        <v>103</v>
      </c>
      <c r="B104" s="9" t="s">
        <v>318</v>
      </c>
      <c r="C104" s="9" t="s">
        <v>23</v>
      </c>
      <c r="D104" s="9" t="s">
        <v>319</v>
      </c>
      <c r="E104" s="9" t="s">
        <v>320</v>
      </c>
      <c r="F104" s="10" t="n">
        <v>48</v>
      </c>
      <c r="G104" s="11" t="str">
        <f aca="false">IF(F104&gt;='Read me'!$B$12,"A",IF(F104&gt;='Read me'!$B$13,"B","C"))</f>
        <v>C</v>
      </c>
      <c r="H104" s="9" t="s">
        <v>184</v>
      </c>
      <c r="I104" s="9" t="s">
        <v>185</v>
      </c>
      <c r="J104" s="9" t="s">
        <v>186</v>
      </c>
      <c r="K104" s="9" t="s">
        <v>321</v>
      </c>
      <c r="L104" s="12"/>
      <c r="M104" s="12"/>
      <c r="N104" s="12"/>
      <c r="O104" s="12"/>
    </row>
    <row r="105" customFormat="false" ht="23.85" hidden="false" customHeight="false" outlineLevel="0" collapsed="false">
      <c r="A105" s="9" t="n">
        <v>104</v>
      </c>
      <c r="B105" s="9" t="s">
        <v>322</v>
      </c>
      <c r="C105" s="9" t="s">
        <v>24</v>
      </c>
      <c r="D105" s="9" t="s">
        <v>154</v>
      </c>
      <c r="E105" s="9" t="s">
        <v>323</v>
      </c>
      <c r="F105" s="10" t="n">
        <v>48</v>
      </c>
      <c r="G105" s="11" t="str">
        <f aca="false">IF(F105&gt;='Read me'!$B$12,"A",IF(F105&gt;='Read me'!$B$13,"B","C"))</f>
        <v>C</v>
      </c>
      <c r="H105" s="9" t="s">
        <v>312</v>
      </c>
      <c r="I105" s="9" t="s">
        <v>313</v>
      </c>
      <c r="J105" s="9" t="s">
        <v>314</v>
      </c>
      <c r="K105" s="9" t="s">
        <v>315</v>
      </c>
      <c r="L105" s="12"/>
      <c r="M105" s="12"/>
      <c r="N105" s="12"/>
      <c r="O105" s="12"/>
    </row>
    <row r="106" customFormat="false" ht="23.85" hidden="false" customHeight="false" outlineLevel="0" collapsed="false">
      <c r="A106" s="9" t="n">
        <v>105</v>
      </c>
      <c r="B106" s="9" t="s">
        <v>324</v>
      </c>
      <c r="C106" s="9" t="s">
        <v>24</v>
      </c>
      <c r="D106" s="9" t="s">
        <v>182</v>
      </c>
      <c r="E106" s="9" t="s">
        <v>325</v>
      </c>
      <c r="F106" s="10" t="n">
        <v>48</v>
      </c>
      <c r="G106" s="11" t="str">
        <f aca="false">IF(F106&gt;='Read me'!$B$12,"A",IF(F106&gt;='Read me'!$B$13,"B","C"))</f>
        <v>C</v>
      </c>
      <c r="H106" s="9" t="s">
        <v>312</v>
      </c>
      <c r="I106" s="9" t="s">
        <v>313</v>
      </c>
      <c r="J106" s="9" t="s">
        <v>314</v>
      </c>
      <c r="K106" s="9"/>
      <c r="L106" s="12"/>
      <c r="M106" s="12"/>
      <c r="N106" s="12"/>
      <c r="O106" s="12"/>
    </row>
    <row r="107" customFormat="false" ht="23.85" hidden="false" customHeight="false" outlineLevel="0" collapsed="false">
      <c r="A107" s="9" t="n">
        <v>106</v>
      </c>
      <c r="B107" s="9" t="s">
        <v>326</v>
      </c>
      <c r="C107" s="9" t="s">
        <v>24</v>
      </c>
      <c r="D107" s="9" t="s">
        <v>99</v>
      </c>
      <c r="E107" s="9" t="s">
        <v>327</v>
      </c>
      <c r="F107" s="10" t="n">
        <v>46</v>
      </c>
      <c r="G107" s="11" t="str">
        <f aca="false">IF(F107&gt;='Read me'!$B$12,"A",IF(F107&gt;='Read me'!$B$13,"B","C"))</f>
        <v>C</v>
      </c>
      <c r="H107" s="9" t="s">
        <v>312</v>
      </c>
      <c r="I107" s="9" t="s">
        <v>313</v>
      </c>
      <c r="J107" s="9" t="s">
        <v>314</v>
      </c>
      <c r="K107" s="9" t="s">
        <v>328</v>
      </c>
      <c r="L107" s="12"/>
      <c r="M107" s="12"/>
      <c r="N107" s="12"/>
      <c r="O107" s="12"/>
    </row>
    <row r="108" customFormat="false" ht="23.85" hidden="false" customHeight="false" outlineLevel="0" collapsed="false">
      <c r="A108" s="9" t="n">
        <v>107</v>
      </c>
      <c r="B108" s="9" t="s">
        <v>329</v>
      </c>
      <c r="C108" s="9" t="s">
        <v>24</v>
      </c>
      <c r="D108" s="9" t="s">
        <v>49</v>
      </c>
      <c r="E108" s="9" t="s">
        <v>330</v>
      </c>
      <c r="F108" s="10" t="n">
        <v>46</v>
      </c>
      <c r="G108" s="11" t="str">
        <f aca="false">IF(F108&gt;='Read me'!$B$12,"A",IF(F108&gt;='Read me'!$B$13,"B","C"))</f>
        <v>C</v>
      </c>
      <c r="H108" s="9" t="s">
        <v>312</v>
      </c>
      <c r="I108" s="9" t="s">
        <v>313</v>
      </c>
      <c r="J108" s="9" t="s">
        <v>314</v>
      </c>
      <c r="K108" s="9" t="s">
        <v>331</v>
      </c>
      <c r="L108" s="12"/>
      <c r="M108" s="12"/>
      <c r="N108" s="12"/>
      <c r="O108" s="12"/>
    </row>
    <row r="109" customFormat="false" ht="23.85" hidden="false" customHeight="false" outlineLevel="0" collapsed="false">
      <c r="A109" s="9" t="n">
        <v>108</v>
      </c>
      <c r="B109" s="9" t="s">
        <v>332</v>
      </c>
      <c r="C109" s="9" t="s">
        <v>24</v>
      </c>
      <c r="D109" s="9" t="s">
        <v>49</v>
      </c>
      <c r="E109" s="9" t="s">
        <v>330</v>
      </c>
      <c r="F109" s="10" t="n">
        <v>44</v>
      </c>
      <c r="G109" s="11" t="str">
        <f aca="false">IF(F109&gt;='Read me'!$B$12,"A",IF(F109&gt;='Read me'!$B$13,"B","C"))</f>
        <v>C</v>
      </c>
      <c r="H109" s="9" t="s">
        <v>312</v>
      </c>
      <c r="I109" s="9" t="s">
        <v>313</v>
      </c>
      <c r="J109" s="9" t="s">
        <v>314</v>
      </c>
      <c r="K109" s="9" t="s">
        <v>331</v>
      </c>
      <c r="L109" s="12"/>
      <c r="M109" s="12"/>
      <c r="N109" s="12"/>
      <c r="O109" s="12"/>
    </row>
  </sheetData>
  <autoFilter ref="A1:O109"/>
  <conditionalFormatting sqref="G2:G109">
    <cfRule type="cellIs" priority="2" operator="equal" aboveAverage="0" equalAverage="0" bottom="0" percent="0" rank="0" text="" dxfId="7">
      <formula>"A"</formula>
    </cfRule>
    <cfRule type="cellIs" priority="3" operator="equal" aboveAverage="0" equalAverage="0" bottom="0" percent="0" rank="0" text="" dxfId="8">
      <formula>"C"</formula>
    </cfRule>
  </conditionalFormatting>
  <dataValidations count="1">
    <dataValidation allowBlank="true" errorStyle="stop" operator="between" showDropDown="false" showErrorMessage="false" showInputMessage="false" sqref="L2:L109" type="list">
      <formula1>"To contact,Contacted,Replied,Demo booked,Pilot,Customer,Lost"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69.4" hidden="false" customHeight="false" outlineLevel="0" collapsed="false">
      <c r="A1" s="13" t="s">
        <v>333</v>
      </c>
      <c r="B1" s="14" t="s">
        <v>334</v>
      </c>
    </row>
    <row r="2" customFormat="false" ht="169.4" hidden="false" customHeight="false" outlineLevel="0" collapsed="false">
      <c r="A2" s="13" t="s">
        <v>335</v>
      </c>
      <c r="B2" s="14" t="s">
        <v>336</v>
      </c>
    </row>
    <row r="3" customFormat="false" ht="158.2" hidden="false" customHeight="false" outlineLevel="0" collapsed="false">
      <c r="A3" s="13" t="s">
        <v>337</v>
      </c>
      <c r="B3" s="14" t="s">
        <v>338</v>
      </c>
    </row>
    <row r="4" customFormat="false" ht="23.85" hidden="false" customHeight="false" outlineLevel="0" collapsed="false">
      <c r="A4" s="13" t="s">
        <v>339</v>
      </c>
      <c r="B4" s="14" t="s">
        <v>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2026-10-18T12:30:05Z</dcterms:created>
  <dc:creator>openpyxl</dc:creator>
  <dc:description/>
  <dc:language>en-US</dc:language>
  <cp:lastModifiedBy/>
  <dcterms:modified xsi:type="dcterms:W3CDTF">2026-10-18T12:30:05Z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